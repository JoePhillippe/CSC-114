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aytech-my.sharepoint.com/personal/phillipj0367_ad_faytechcc_edu/Documents/Documents/CSC-113/Bot agent/Bodden Subnetting 8-14-2024/"/>
    </mc:Choice>
  </mc:AlternateContent>
  <xr:revisionPtr revIDLastSave="0" documentId="8_{A88EBC0D-FD06-418C-9BD3-B45485C81DCC}" xr6:coauthVersionLast="47" xr6:coauthVersionMax="47" xr10:uidLastSave="{00000000-0000-0000-0000-000000000000}"/>
  <bookViews>
    <workbookView xWindow="-120" yWindow="-120" windowWidth="29040" windowHeight="17520" firstSheet="2" activeTab="2" xr2:uid="{C2C3EF6D-8A2E-4F03-A7AB-67C8F8EDFA32}"/>
  </bookViews>
  <sheets>
    <sheet name="CLASS A" sheetId="4" r:id="rId1"/>
    <sheet name="CLASS B" sheetId="5" r:id="rId2"/>
    <sheet name="CLASS C" sheetId="3" r:id="rId3"/>
  </sheets>
  <definedNames>
    <definedName name="_xlnm.Print_Area" localSheetId="0">'CLASS A'!$A$1:$AK$29</definedName>
    <definedName name="_xlnm.Print_Area" localSheetId="1">'CLASS B'!$A$1:$AD$21</definedName>
    <definedName name="_xlnm.Print_Area" localSheetId="2">'CLASS C'!$A$1:$AD$21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3" i="3" l="1"/>
  <c r="S12" i="3"/>
  <c r="R11" i="3"/>
  <c r="S11" i="3" s="1"/>
  <c r="R10" i="3"/>
  <c r="S10" i="3" s="1"/>
  <c r="R9" i="3"/>
  <c r="S9" i="3" s="1"/>
  <c r="R8" i="3"/>
  <c r="S8" i="3" s="1"/>
  <c r="R7" i="3"/>
  <c r="S7" i="3" s="1"/>
  <c r="R6" i="3"/>
  <c r="S6" i="3" s="1"/>
  <c r="B13" i="3"/>
  <c r="B12" i="3"/>
  <c r="B11" i="3"/>
  <c r="B10" i="3"/>
  <c r="B9" i="3"/>
  <c r="B8" i="3"/>
  <c r="B7" i="3"/>
  <c r="B6" i="3"/>
  <c r="R5" i="3"/>
  <c r="S5" i="3" s="1"/>
  <c r="B5" i="3"/>
  <c r="Y5" i="5"/>
  <c r="AF13" i="4"/>
  <c r="Z21" i="5"/>
  <c r="Z20" i="5"/>
  <c r="Y19" i="5"/>
  <c r="Z19" i="5" s="1"/>
  <c r="Y18" i="5"/>
  <c r="Z18" i="5" s="1"/>
  <c r="Y17" i="5"/>
  <c r="Z17" i="5" s="1"/>
  <c r="Y16" i="5"/>
  <c r="Z16" i="5" s="1"/>
  <c r="Y15" i="5"/>
  <c r="Z15" i="5" s="1"/>
  <c r="Y14" i="5"/>
  <c r="Z14" i="5" s="1"/>
  <c r="Y13" i="5"/>
  <c r="Z13" i="5" s="1"/>
  <c r="Y12" i="5"/>
  <c r="Z12" i="5" s="1"/>
  <c r="Y11" i="5"/>
  <c r="Z11" i="5" s="1"/>
  <c r="Y10" i="5"/>
  <c r="Z10" i="5" s="1"/>
  <c r="Y9" i="5"/>
  <c r="Z9" i="5" s="1"/>
  <c r="Y8" i="5"/>
  <c r="Z8" i="5" s="1"/>
  <c r="Y7" i="5"/>
  <c r="Z7" i="5" s="1"/>
  <c r="Z6" i="5"/>
  <c r="Y6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Z5" i="5"/>
  <c r="B5" i="5"/>
  <c r="AG29" i="4"/>
  <c r="B29" i="4"/>
  <c r="AG28" i="4"/>
  <c r="B28" i="4"/>
  <c r="AF27" i="4"/>
  <c r="AG27" i="4" s="1"/>
  <c r="B27" i="4"/>
  <c r="AG26" i="4"/>
  <c r="AF26" i="4"/>
  <c r="B26" i="4"/>
  <c r="AF25" i="4"/>
  <c r="AG25" i="4" s="1"/>
  <c r="B25" i="4"/>
  <c r="AF24" i="4"/>
  <c r="AG24" i="4" s="1"/>
  <c r="B24" i="4"/>
  <c r="AG23" i="4"/>
  <c r="AF23" i="4"/>
  <c r="B23" i="4"/>
  <c r="AF22" i="4"/>
  <c r="AG22" i="4" s="1"/>
  <c r="B22" i="4"/>
  <c r="AF21" i="4"/>
  <c r="AG21" i="4" s="1"/>
  <c r="B21" i="4"/>
  <c r="AF20" i="4"/>
  <c r="AG20" i="4" s="1"/>
  <c r="B20" i="4"/>
  <c r="AF19" i="4"/>
  <c r="AG19" i="4" s="1"/>
  <c r="B19" i="4"/>
  <c r="AG18" i="4"/>
  <c r="AF18" i="4"/>
  <c r="B18" i="4"/>
  <c r="AF17" i="4"/>
  <c r="AG17" i="4" s="1"/>
  <c r="B17" i="4"/>
  <c r="AF16" i="4"/>
  <c r="AG16" i="4" s="1"/>
  <c r="B16" i="4"/>
  <c r="AG15" i="4"/>
  <c r="AF15" i="4"/>
  <c r="B15" i="4"/>
  <c r="AF14" i="4"/>
  <c r="AG14" i="4" s="1"/>
  <c r="B14" i="4"/>
  <c r="AG13" i="4"/>
  <c r="B13" i="4"/>
  <c r="AF12" i="4"/>
  <c r="AG12" i="4" s="1"/>
  <c r="B12" i="4"/>
  <c r="AF11" i="4"/>
  <c r="AG11" i="4" s="1"/>
  <c r="B11" i="4"/>
  <c r="AG10" i="4"/>
  <c r="AF10" i="4"/>
  <c r="B10" i="4"/>
  <c r="AF9" i="4"/>
  <c r="AG9" i="4" s="1"/>
  <c r="B9" i="4"/>
  <c r="AF8" i="4"/>
  <c r="AG8" i="4" s="1"/>
  <c r="B8" i="4"/>
  <c r="AG7" i="4"/>
  <c r="AF7" i="4"/>
  <c r="B7" i="4"/>
  <c r="AF6" i="4"/>
  <c r="AG6" i="4" s="1"/>
  <c r="B6" i="4"/>
  <c r="AF5" i="4"/>
  <c r="AG5" i="4" s="1"/>
  <c r="B5" i="4"/>
</calcChain>
</file>

<file path=xl/sharedStrings.xml><?xml version="1.0" encoding="utf-8"?>
<sst xmlns="http://schemas.openxmlformats.org/spreadsheetml/2006/main" count="1597" uniqueCount="159">
  <si>
    <r>
      <t>Total
Subnets
2</t>
    </r>
    <r>
      <rPr>
        <b/>
        <vertAlign val="superscript"/>
        <sz val="12"/>
        <color theme="1"/>
        <rFont val="Calibri"/>
        <family val="2"/>
        <scheme val="minor"/>
      </rPr>
      <t>S</t>
    </r>
  </si>
  <si>
    <t>Class A: Custom Address Map (CAM)
Leading Bit Pattern: 0</t>
  </si>
  <si>
    <t>Total
Addresses</t>
  </si>
  <si>
    <t>Total
Usable
(host)
Addresses</t>
  </si>
  <si>
    <t>Interval &amp;
Transition
Octet (TO)</t>
  </si>
  <si>
    <t>Prefix</t>
  </si>
  <si>
    <t>Subnet
Mask</t>
  </si>
  <si>
    <t>Wildcard
Mask</t>
  </si>
  <si>
    <t>O1</t>
  </si>
  <si>
    <t>.</t>
  </si>
  <si>
    <t>Octet 2</t>
  </si>
  <si>
    <t>Octet 3</t>
  </si>
  <si>
    <t>Octet 4</t>
  </si>
  <si>
    <t>s = number of
subnet bits in CAM</t>
  </si>
  <si>
    <t>N</t>
  </si>
  <si>
    <t>H</t>
  </si>
  <si>
    <t>h = number of
host bits in CAM</t>
  </si>
  <si>
    <t>Value of
rightmost s bit within the TO</t>
  </si>
  <si>
    <t>Number
of network bits</t>
  </si>
  <si>
    <t>Network bits = 1
Host bits = 0</t>
  </si>
  <si>
    <t>Network bits = 0
Host bits = 1</t>
  </si>
  <si>
    <t>Bit value
within Octet &gt;</t>
  </si>
  <si>
    <r>
      <t>2</t>
    </r>
    <r>
      <rPr>
        <b/>
        <vertAlign val="superscript"/>
        <sz val="12"/>
        <color theme="1"/>
        <rFont val="Calibri"/>
        <family val="2"/>
        <scheme val="minor"/>
      </rPr>
      <t>h</t>
    </r>
  </si>
  <si>
    <r>
      <t>2</t>
    </r>
    <r>
      <rPr>
        <b/>
        <vertAlign val="superscript"/>
        <sz val="12"/>
        <color theme="1"/>
        <rFont val="Calibri"/>
        <family val="2"/>
        <scheme val="minor"/>
      </rPr>
      <t>h</t>
    </r>
    <r>
      <rPr>
        <b/>
        <sz val="12"/>
        <color theme="1"/>
        <rFont val="Calibri"/>
        <family val="2"/>
        <scheme val="minor"/>
      </rPr>
      <t xml:space="preserve"> - 2</t>
    </r>
  </si>
  <si>
    <t>2^0</t>
  </si>
  <si>
    <t>h</t>
  </si>
  <si>
    <t>2^24</t>
  </si>
  <si>
    <t>"1, 1st"</t>
  </si>
  <si>
    <t>/8</t>
  </si>
  <si>
    <t>255.0.0.0</t>
  </si>
  <si>
    <t>0.255.255.255</t>
  </si>
  <si>
    <t>2^1</t>
  </si>
  <si>
    <t>s</t>
  </si>
  <si>
    <t>2^23</t>
  </si>
  <si>
    <t>128, 2nd</t>
  </si>
  <si>
    <t>/9</t>
  </si>
  <si>
    <t>255.128.0.0</t>
  </si>
  <si>
    <t>0.127.255.255</t>
  </si>
  <si>
    <t>2^2</t>
  </si>
  <si>
    <t>2^22</t>
  </si>
  <si>
    <t>64, 2nd</t>
  </si>
  <si>
    <t>/10</t>
  </si>
  <si>
    <t>255.192.0.0</t>
  </si>
  <si>
    <t>0.63.255.255</t>
  </si>
  <si>
    <t>2^3</t>
  </si>
  <si>
    <t>2^21</t>
  </si>
  <si>
    <t>32, 2nd</t>
  </si>
  <si>
    <t>/11</t>
  </si>
  <si>
    <t>255.224.0.0</t>
  </si>
  <si>
    <t>0.31.255.255</t>
  </si>
  <si>
    <t>2^4</t>
  </si>
  <si>
    <t>2^20</t>
  </si>
  <si>
    <t>16, 2nd</t>
  </si>
  <si>
    <t>/12</t>
  </si>
  <si>
    <t>255.240.0.0</t>
  </si>
  <si>
    <t>0.15.255.255</t>
  </si>
  <si>
    <t>2^5</t>
  </si>
  <si>
    <t>2^19</t>
  </si>
  <si>
    <t>8, 2nd</t>
  </si>
  <si>
    <t>/13</t>
  </si>
  <si>
    <t>255.248.0.0</t>
  </si>
  <si>
    <t>0.7.255.255</t>
  </si>
  <si>
    <t>2^6</t>
  </si>
  <si>
    <t>2^18</t>
  </si>
  <si>
    <t>4, 2nd</t>
  </si>
  <si>
    <t>/14</t>
  </si>
  <si>
    <t>255.252.0.0</t>
  </si>
  <si>
    <t>0.3.255.255</t>
  </si>
  <si>
    <t>2^7</t>
  </si>
  <si>
    <t>2^17</t>
  </si>
  <si>
    <t>2, 2nd</t>
  </si>
  <si>
    <t>/15</t>
  </si>
  <si>
    <t>255.254.0.0</t>
  </si>
  <si>
    <t>0.1.255.255</t>
  </si>
  <si>
    <t>2^8</t>
  </si>
  <si>
    <t>2^16</t>
  </si>
  <si>
    <t>1, 2nd</t>
  </si>
  <si>
    <t>/16</t>
  </si>
  <si>
    <t>255.255.0.0</t>
  </si>
  <si>
    <t>0.0.255.255</t>
  </si>
  <si>
    <t>2^9</t>
  </si>
  <si>
    <t>2^15</t>
  </si>
  <si>
    <t>128, 3rd</t>
  </si>
  <si>
    <t>/17</t>
  </si>
  <si>
    <t>255.255.128.0</t>
  </si>
  <si>
    <t>0.0.127.255</t>
  </si>
  <si>
    <t>2^10</t>
  </si>
  <si>
    <t>2^14</t>
  </si>
  <si>
    <t>64, 3rd</t>
  </si>
  <si>
    <t>/18</t>
  </si>
  <si>
    <t>255.255.192.0</t>
  </si>
  <si>
    <t>0.0.63.255</t>
  </si>
  <si>
    <t>2^11</t>
  </si>
  <si>
    <t>2^13</t>
  </si>
  <si>
    <t>32, 3rd</t>
  </si>
  <si>
    <t>/19</t>
  </si>
  <si>
    <t>255.255.224.0</t>
  </si>
  <si>
    <t>0.0.31.255</t>
  </si>
  <si>
    <t>2^12</t>
  </si>
  <si>
    <t>16, 3rd</t>
  </si>
  <si>
    <t>/20</t>
  </si>
  <si>
    <t>255.255.240.0</t>
  </si>
  <si>
    <t>0.0.15.255</t>
  </si>
  <si>
    <t>8, 3rd</t>
  </si>
  <si>
    <t>/21</t>
  </si>
  <si>
    <t>255.255.248.0</t>
  </si>
  <si>
    <t>0.0.7.255</t>
  </si>
  <si>
    <t>4, 3rd</t>
  </si>
  <si>
    <t>/22</t>
  </si>
  <si>
    <t>255.255.252.0</t>
  </si>
  <si>
    <t>0.0.3.255</t>
  </si>
  <si>
    <t>2, 3rd</t>
  </si>
  <si>
    <t>/23</t>
  </si>
  <si>
    <t>255.255.254.0</t>
  </si>
  <si>
    <t>0.0.1.255</t>
  </si>
  <si>
    <t>1, 3rd</t>
  </si>
  <si>
    <t>/24</t>
  </si>
  <si>
    <t>255.255.255.0</t>
  </si>
  <si>
    <t>0.0.0.255</t>
  </si>
  <si>
    <t>128, 4th</t>
  </si>
  <si>
    <t>/25</t>
  </si>
  <si>
    <t>255.255.255.128</t>
  </si>
  <si>
    <t>0.0.0.127</t>
  </si>
  <si>
    <t>64, 4th</t>
  </si>
  <si>
    <t>/26</t>
  </si>
  <si>
    <t>255.255.255.192</t>
  </si>
  <si>
    <t>0.0.0.63</t>
  </si>
  <si>
    <t>32, 4th</t>
  </si>
  <si>
    <t>/27</t>
  </si>
  <si>
    <t>255.255.255.224</t>
  </si>
  <si>
    <t>0.0.0.31</t>
  </si>
  <si>
    <t>16, 4th</t>
  </si>
  <si>
    <t>/28</t>
  </si>
  <si>
    <t>255.255.255.240</t>
  </si>
  <si>
    <t>0.0.0.15</t>
  </si>
  <si>
    <t>8, 4th</t>
  </si>
  <si>
    <t>/29</t>
  </si>
  <si>
    <t>255.255.255.248</t>
  </si>
  <si>
    <t>0.0.0.7</t>
  </si>
  <si>
    <t>4, 4th</t>
  </si>
  <si>
    <t>/30</t>
  </si>
  <si>
    <t>255.255.255.252</t>
  </si>
  <si>
    <t>0.0.0.3</t>
  </si>
  <si>
    <t>2, 4th</t>
  </si>
  <si>
    <t>/31</t>
  </si>
  <si>
    <t>255.255.255.254</t>
  </si>
  <si>
    <t>0.0.0.1</t>
  </si>
  <si>
    <t>1, 4th</t>
  </si>
  <si>
    <t>/32</t>
  </si>
  <si>
    <t>255.255.255.255</t>
  </si>
  <si>
    <t>0.0.0.0</t>
  </si>
  <si>
    <t>Class B: Custom Address Map (CAM)
Leading Bit Pattern: 10</t>
  </si>
  <si>
    <t>Interval &amp;
Transition
Octet</t>
  </si>
  <si>
    <t>O2</t>
  </si>
  <si>
    <t>Value of
rightmost s bit within octet</t>
  </si>
  <si>
    <t>"1, 2nd"</t>
  </si>
  <si>
    <t>Class C: Custom Address Map (CAM)
Leading Bit Pattern: 110</t>
  </si>
  <si>
    <t>O3</t>
  </si>
  <si>
    <t>"1, 3rd"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</si>
</sst>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0">
    <xf numFmtId="0" fontId="0" fillId="0" borderId="0" xfId="0"/>
    <xf numFmtId="0" fontId="3" fillId="0" borderId="12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textRotation="90"/>
    </xf>
    <xf numFmtId="0" fontId="3" fillId="0" borderId="1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26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0" borderId="14" xfId="0" applyFont="1" applyBorder="1" applyAlignment="1">
      <alignment horizontal="center" textRotation="90"/>
    </xf>
    <xf numFmtId="49" fontId="3" fillId="0" borderId="23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0" borderId="12" xfId="1" applyNumberFormat="1" applyFont="1" applyBorder="1" applyAlignment="1">
      <alignment horizontal="center" vertical="center"/>
    </xf>
    <xf numFmtId="0" fontId="3" fillId="0" borderId="14" xfId="1" applyNumberFormat="1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49" fontId="3" fillId="0" borderId="25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1" applyNumberFormat="1" applyFont="1" applyBorder="1" applyAlignment="1">
      <alignment horizontal="center" vertical="center"/>
    </xf>
    <xf numFmtId="0" fontId="3" fillId="0" borderId="5" xfId="1" applyNumberFormat="1" applyFont="1" applyBorder="1" applyAlignment="1">
      <alignment horizontal="center" vertical="center"/>
    </xf>
    <xf numFmtId="49" fontId="3" fillId="3" borderId="25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4" xfId="1" applyNumberFormat="1" applyFont="1" applyFill="1" applyBorder="1" applyAlignment="1">
      <alignment horizontal="center" vertical="center"/>
    </xf>
    <xf numFmtId="0" fontId="3" fillId="3" borderId="5" xfId="1" applyNumberFormat="1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49" fontId="3" fillId="5" borderId="27" xfId="0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4" xfId="1" applyNumberFormat="1" applyFont="1" applyFill="1" applyBorder="1" applyAlignment="1">
      <alignment horizontal="center" vertical="center"/>
    </xf>
    <xf numFmtId="0" fontId="3" fillId="5" borderId="5" xfId="1" applyNumberFormat="1" applyFont="1" applyFill="1" applyBorder="1" applyAlignment="1">
      <alignment horizontal="center" vertical="center"/>
    </xf>
    <xf numFmtId="49" fontId="3" fillId="5" borderId="38" xfId="0" applyNumberFormat="1" applyFont="1" applyFill="1" applyBorder="1" applyAlignment="1">
      <alignment horizontal="center" vertical="center"/>
    </xf>
    <xf numFmtId="0" fontId="2" fillId="5" borderId="32" xfId="0" applyFont="1" applyFill="1" applyBorder="1" applyAlignment="1">
      <alignment horizontal="center" vertical="center"/>
    </xf>
    <xf numFmtId="0" fontId="2" fillId="5" borderId="34" xfId="0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31" xfId="1" applyNumberFormat="1" applyFont="1" applyFill="1" applyBorder="1" applyAlignment="1">
      <alignment horizontal="center" vertical="center"/>
    </xf>
    <xf numFmtId="0" fontId="3" fillId="5" borderId="33" xfId="1" applyNumberFormat="1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49" fontId="3" fillId="0" borderId="27" xfId="0" applyNumberFormat="1" applyFont="1" applyBorder="1" applyAlignment="1">
      <alignment horizontal="center" vertical="center"/>
    </xf>
    <xf numFmtId="49" fontId="3" fillId="3" borderId="28" xfId="0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6" xfId="1" applyNumberFormat="1" applyFont="1" applyFill="1" applyBorder="1" applyAlignment="1">
      <alignment horizontal="center" vertical="center"/>
    </xf>
    <xf numFmtId="0" fontId="3" fillId="3" borderId="8" xfId="1" applyNumberFormat="1" applyFont="1" applyFill="1" applyBorder="1" applyAlignment="1">
      <alignment horizontal="center" vertical="center"/>
    </xf>
    <xf numFmtId="49" fontId="3" fillId="3" borderId="27" xfId="0" applyNumberFormat="1" applyFont="1" applyFill="1" applyBorder="1" applyAlignment="1">
      <alignment horizontal="center" vertical="center"/>
    </xf>
    <xf numFmtId="49" fontId="3" fillId="2" borderId="25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49" fontId="3" fillId="2" borderId="30" xfId="0" applyNumberFormat="1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/>
    </xf>
    <xf numFmtId="49" fontId="3" fillId="0" borderId="28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 wrapText="1"/>
    </xf>
    <xf numFmtId="49" fontId="2" fillId="0" borderId="36" xfId="0" applyNumberFormat="1" applyFont="1" applyBorder="1" applyAlignment="1">
      <alignment horizontal="center" vertical="center" wrapText="1"/>
    </xf>
    <xf numFmtId="49" fontId="2" fillId="0" borderId="28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F9A77-DEF0-4AAB-A620-B3897ABE5530}">
  <sheetPr>
    <pageSetUpPr fitToPage="1"/>
  </sheetPr>
  <dimension ref="A1:AK29"/>
  <sheetViews>
    <sheetView zoomScale="90" zoomScaleNormal="90" workbookViewId="0">
      <selection activeCell="A30" sqref="A30"/>
    </sheetView>
  </sheetViews>
  <sheetFormatPr defaultRowHeight="15"/>
  <cols>
    <col min="1" max="1" width="5.5703125" style="16" bestFit="1" customWidth="1"/>
    <col min="2" max="2" width="10.140625" style="17" bestFit="1" customWidth="1"/>
    <col min="3" max="3" width="3.7109375" style="17" bestFit="1" customWidth="1"/>
    <col min="4" max="4" width="1" style="17" customWidth="1"/>
    <col min="5" max="12" width="2.7109375" style="17" customWidth="1"/>
    <col min="13" max="13" width="1" style="17" customWidth="1"/>
    <col min="14" max="21" width="2.7109375" style="17" customWidth="1"/>
    <col min="22" max="22" width="1" style="17" customWidth="1"/>
    <col min="23" max="24" width="2.7109375" style="17" customWidth="1"/>
    <col min="25" max="30" width="2.7109375" customWidth="1"/>
    <col min="31" max="31" width="5.5703125" bestFit="1" customWidth="1"/>
    <col min="32" max="32" width="10.140625" bestFit="1" customWidth="1"/>
    <col min="33" max="33" width="11.140625" customWidth="1"/>
    <col min="34" max="34" width="11.7109375" style="17" customWidth="1"/>
    <col min="35" max="35" width="9" style="17" customWidth="1"/>
    <col min="36" max="36" width="16.5703125" style="18" bestFit="1" customWidth="1"/>
    <col min="37" max="37" width="16.42578125" style="18" customWidth="1"/>
  </cols>
  <sheetData>
    <row r="1" spans="1:37" s="14" customFormat="1" ht="39.75" customHeight="1">
      <c r="A1" s="108" t="s">
        <v>0</v>
      </c>
      <c r="B1" s="109"/>
      <c r="C1" s="112" t="s">
        <v>1</v>
      </c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4" t="s">
        <v>2</v>
      </c>
      <c r="AF1" s="115"/>
      <c r="AG1" s="103" t="s">
        <v>3</v>
      </c>
      <c r="AH1" s="103" t="s">
        <v>4</v>
      </c>
      <c r="AI1" s="103" t="s">
        <v>5</v>
      </c>
      <c r="AJ1" s="103" t="s">
        <v>6</v>
      </c>
      <c r="AK1" s="105" t="s">
        <v>7</v>
      </c>
    </row>
    <row r="2" spans="1:37" s="15" customFormat="1" ht="29.25" customHeight="1">
      <c r="A2" s="110"/>
      <c r="B2" s="111"/>
      <c r="C2" s="4" t="s">
        <v>8</v>
      </c>
      <c r="D2" s="32" t="s">
        <v>9</v>
      </c>
      <c r="E2" s="107" t="s">
        <v>10</v>
      </c>
      <c r="F2" s="107"/>
      <c r="G2" s="107"/>
      <c r="H2" s="107"/>
      <c r="I2" s="107"/>
      <c r="J2" s="107"/>
      <c r="K2" s="107"/>
      <c r="L2" s="107"/>
      <c r="M2" s="32" t="s">
        <v>9</v>
      </c>
      <c r="N2" s="107" t="s">
        <v>11</v>
      </c>
      <c r="O2" s="107"/>
      <c r="P2" s="107"/>
      <c r="Q2" s="107"/>
      <c r="R2" s="107"/>
      <c r="S2" s="107"/>
      <c r="T2" s="107"/>
      <c r="U2" s="107"/>
      <c r="V2" s="32" t="s">
        <v>9</v>
      </c>
      <c r="W2" s="107" t="s">
        <v>12</v>
      </c>
      <c r="X2" s="107"/>
      <c r="Y2" s="107"/>
      <c r="Z2" s="107"/>
      <c r="AA2" s="107"/>
      <c r="AB2" s="107"/>
      <c r="AC2" s="107"/>
      <c r="AD2" s="107"/>
      <c r="AE2" s="116"/>
      <c r="AF2" s="117"/>
      <c r="AG2" s="104"/>
      <c r="AH2" s="104"/>
      <c r="AI2" s="104"/>
      <c r="AJ2" s="104"/>
      <c r="AK2" s="106"/>
    </row>
    <row r="3" spans="1:37" ht="45" customHeight="1">
      <c r="A3" s="97" t="s">
        <v>13</v>
      </c>
      <c r="B3" s="98"/>
      <c r="C3" s="19" t="s">
        <v>14</v>
      </c>
      <c r="D3" s="32" t="s">
        <v>9</v>
      </c>
      <c r="E3" s="99" t="s">
        <v>15</v>
      </c>
      <c r="F3" s="99"/>
      <c r="G3" s="99"/>
      <c r="H3" s="99"/>
      <c r="I3" s="99"/>
      <c r="J3" s="99"/>
      <c r="K3" s="99"/>
      <c r="L3" s="99"/>
      <c r="M3" s="32" t="s">
        <v>9</v>
      </c>
      <c r="N3" s="99" t="s">
        <v>15</v>
      </c>
      <c r="O3" s="99"/>
      <c r="P3" s="99"/>
      <c r="Q3" s="99"/>
      <c r="R3" s="99"/>
      <c r="S3" s="99"/>
      <c r="T3" s="99"/>
      <c r="U3" s="99"/>
      <c r="V3" s="32" t="s">
        <v>9</v>
      </c>
      <c r="W3" s="99" t="s">
        <v>15</v>
      </c>
      <c r="X3" s="99"/>
      <c r="Y3" s="99"/>
      <c r="Z3" s="99"/>
      <c r="AA3" s="99"/>
      <c r="AB3" s="99"/>
      <c r="AC3" s="99"/>
      <c r="AD3" s="99"/>
      <c r="AE3" s="100" t="s">
        <v>16</v>
      </c>
      <c r="AF3" s="101"/>
      <c r="AG3" s="102"/>
      <c r="AH3" s="87" t="s">
        <v>17</v>
      </c>
      <c r="AI3" s="89" t="s">
        <v>18</v>
      </c>
      <c r="AJ3" s="87" t="s">
        <v>19</v>
      </c>
      <c r="AK3" s="91" t="s">
        <v>20</v>
      </c>
    </row>
    <row r="4" spans="1:37" ht="39" customHeight="1">
      <c r="A4" s="93" t="s">
        <v>21</v>
      </c>
      <c r="B4" s="94"/>
      <c r="C4" s="21" t="s">
        <v>14</v>
      </c>
      <c r="D4" s="30" t="s">
        <v>9</v>
      </c>
      <c r="E4" s="22">
        <v>128</v>
      </c>
      <c r="F4" s="22">
        <v>64</v>
      </c>
      <c r="G4" s="22">
        <v>32</v>
      </c>
      <c r="H4" s="22">
        <v>16</v>
      </c>
      <c r="I4" s="23">
        <v>8</v>
      </c>
      <c r="J4" s="23">
        <v>4</v>
      </c>
      <c r="K4" s="23">
        <v>2</v>
      </c>
      <c r="L4" s="23">
        <v>1</v>
      </c>
      <c r="M4" s="30" t="s">
        <v>9</v>
      </c>
      <c r="N4" s="22">
        <v>128</v>
      </c>
      <c r="O4" s="22">
        <v>64</v>
      </c>
      <c r="P4" s="22">
        <v>32</v>
      </c>
      <c r="Q4" s="22">
        <v>16</v>
      </c>
      <c r="R4" s="23">
        <v>8</v>
      </c>
      <c r="S4" s="23">
        <v>4</v>
      </c>
      <c r="T4" s="23">
        <v>2</v>
      </c>
      <c r="U4" s="23">
        <v>1</v>
      </c>
      <c r="V4" s="30" t="s">
        <v>9</v>
      </c>
      <c r="W4" s="22">
        <v>128</v>
      </c>
      <c r="X4" s="22">
        <v>64</v>
      </c>
      <c r="Y4" s="22">
        <v>32</v>
      </c>
      <c r="Z4" s="22">
        <v>16</v>
      </c>
      <c r="AA4" s="23">
        <v>8</v>
      </c>
      <c r="AB4" s="23">
        <v>4</v>
      </c>
      <c r="AC4" s="23">
        <v>2</v>
      </c>
      <c r="AD4" s="23">
        <v>1</v>
      </c>
      <c r="AE4" s="95" t="s">
        <v>22</v>
      </c>
      <c r="AF4" s="96"/>
      <c r="AG4" s="6" t="s">
        <v>23</v>
      </c>
      <c r="AH4" s="88"/>
      <c r="AI4" s="90"/>
      <c r="AJ4" s="88"/>
      <c r="AK4" s="92"/>
    </row>
    <row r="5" spans="1:37" s="46" customFormat="1" ht="20.25" customHeight="1">
      <c r="A5" s="38" t="s">
        <v>24</v>
      </c>
      <c r="B5" s="39">
        <f>2^0</f>
        <v>1</v>
      </c>
      <c r="C5" s="4" t="s">
        <v>14</v>
      </c>
      <c r="D5" s="70" t="s">
        <v>9</v>
      </c>
      <c r="E5" s="24" t="s">
        <v>25</v>
      </c>
      <c r="F5" s="24" t="s">
        <v>25</v>
      </c>
      <c r="G5" s="24" t="s">
        <v>25</v>
      </c>
      <c r="H5" s="24" t="s">
        <v>25</v>
      </c>
      <c r="I5" s="24" t="s">
        <v>25</v>
      </c>
      <c r="J5" s="24" t="s">
        <v>25</v>
      </c>
      <c r="K5" s="24" t="s">
        <v>25</v>
      </c>
      <c r="L5" s="24" t="s">
        <v>25</v>
      </c>
      <c r="M5" s="70" t="s">
        <v>9</v>
      </c>
      <c r="N5" s="24" t="s">
        <v>25</v>
      </c>
      <c r="O5" s="24" t="s">
        <v>25</v>
      </c>
      <c r="P5" s="24" t="s">
        <v>25</v>
      </c>
      <c r="Q5" s="24" t="s">
        <v>25</v>
      </c>
      <c r="R5" s="24" t="s">
        <v>25</v>
      </c>
      <c r="S5" s="24" t="s">
        <v>25</v>
      </c>
      <c r="T5" s="24" t="s">
        <v>25</v>
      </c>
      <c r="U5" s="24" t="s">
        <v>25</v>
      </c>
      <c r="V5" s="70" t="s">
        <v>9</v>
      </c>
      <c r="W5" s="24" t="s">
        <v>25</v>
      </c>
      <c r="X5" s="24" t="s">
        <v>25</v>
      </c>
      <c r="Y5" s="24" t="s">
        <v>25</v>
      </c>
      <c r="Z5" s="24" t="s">
        <v>25</v>
      </c>
      <c r="AA5" s="24" t="s">
        <v>25</v>
      </c>
      <c r="AB5" s="24" t="s">
        <v>25</v>
      </c>
      <c r="AC5" s="24" t="s">
        <v>25</v>
      </c>
      <c r="AD5" s="41" t="s">
        <v>25</v>
      </c>
      <c r="AE5" s="42" t="s">
        <v>26</v>
      </c>
      <c r="AF5" s="43">
        <f>2^24</f>
        <v>16777216</v>
      </c>
      <c r="AG5" s="25">
        <f>AF5-2</f>
        <v>16777214</v>
      </c>
      <c r="AH5" s="44" t="s">
        <v>27</v>
      </c>
      <c r="AI5" s="45" t="s">
        <v>28</v>
      </c>
      <c r="AJ5" s="7" t="s">
        <v>29</v>
      </c>
      <c r="AK5" s="10" t="s">
        <v>30</v>
      </c>
    </row>
    <row r="6" spans="1:37" s="46" customFormat="1" ht="20.25" customHeight="1">
      <c r="A6" s="47" t="s">
        <v>31</v>
      </c>
      <c r="B6" s="48">
        <f>2^1</f>
        <v>2</v>
      </c>
      <c r="C6" s="19" t="s">
        <v>14</v>
      </c>
      <c r="D6" s="36" t="s">
        <v>9</v>
      </c>
      <c r="E6" s="35" t="s">
        <v>32</v>
      </c>
      <c r="F6" s="50" t="s">
        <v>25</v>
      </c>
      <c r="G6" s="50" t="s">
        <v>25</v>
      </c>
      <c r="H6" s="50" t="s">
        <v>25</v>
      </c>
      <c r="I6" s="50" t="s">
        <v>25</v>
      </c>
      <c r="J6" s="50" t="s">
        <v>25</v>
      </c>
      <c r="K6" s="50" t="s">
        <v>25</v>
      </c>
      <c r="L6" s="50" t="s">
        <v>25</v>
      </c>
      <c r="M6" s="36" t="s">
        <v>9</v>
      </c>
      <c r="N6" s="50" t="s">
        <v>25</v>
      </c>
      <c r="O6" s="50" t="s">
        <v>25</v>
      </c>
      <c r="P6" s="50" t="s">
        <v>25</v>
      </c>
      <c r="Q6" s="50" t="s">
        <v>25</v>
      </c>
      <c r="R6" s="50" t="s">
        <v>25</v>
      </c>
      <c r="S6" s="50" t="s">
        <v>25</v>
      </c>
      <c r="T6" s="50" t="s">
        <v>25</v>
      </c>
      <c r="U6" s="50" t="s">
        <v>25</v>
      </c>
      <c r="V6" s="36" t="s">
        <v>9</v>
      </c>
      <c r="W6" s="50" t="s">
        <v>25</v>
      </c>
      <c r="X6" s="50" t="s">
        <v>25</v>
      </c>
      <c r="Y6" s="50" t="s">
        <v>25</v>
      </c>
      <c r="Z6" s="50" t="s">
        <v>25</v>
      </c>
      <c r="AA6" s="50" t="s">
        <v>25</v>
      </c>
      <c r="AB6" s="50" t="s">
        <v>25</v>
      </c>
      <c r="AC6" s="50" t="s">
        <v>25</v>
      </c>
      <c r="AD6" s="50" t="s">
        <v>25</v>
      </c>
      <c r="AE6" s="51" t="s">
        <v>33</v>
      </c>
      <c r="AF6" s="52">
        <f>2^23</f>
        <v>8388608</v>
      </c>
      <c r="AG6" s="71">
        <f t="shared" ref="AG6:AG29" si="0">AF6-2</f>
        <v>8388606</v>
      </c>
      <c r="AH6" s="48" t="s">
        <v>34</v>
      </c>
      <c r="AI6" s="48" t="s">
        <v>35</v>
      </c>
      <c r="AJ6" s="3" t="s">
        <v>36</v>
      </c>
      <c r="AK6" s="11" t="s">
        <v>37</v>
      </c>
    </row>
    <row r="7" spans="1:37" s="59" customFormat="1" ht="20.25" customHeight="1">
      <c r="A7" s="53" t="s">
        <v>38</v>
      </c>
      <c r="B7" s="54">
        <f>2^2</f>
        <v>4</v>
      </c>
      <c r="C7" s="55" t="s">
        <v>14</v>
      </c>
      <c r="D7" s="36" t="s">
        <v>9</v>
      </c>
      <c r="E7" s="56" t="s">
        <v>32</v>
      </c>
      <c r="F7" s="20" t="s">
        <v>32</v>
      </c>
      <c r="G7" s="56" t="s">
        <v>25</v>
      </c>
      <c r="H7" s="56" t="s">
        <v>25</v>
      </c>
      <c r="I7" s="56" t="s">
        <v>25</v>
      </c>
      <c r="J7" s="56" t="s">
        <v>25</v>
      </c>
      <c r="K7" s="56" t="s">
        <v>25</v>
      </c>
      <c r="L7" s="56" t="s">
        <v>25</v>
      </c>
      <c r="M7" s="36" t="s">
        <v>9</v>
      </c>
      <c r="N7" s="56" t="s">
        <v>25</v>
      </c>
      <c r="O7" s="56" t="s">
        <v>25</v>
      </c>
      <c r="P7" s="56" t="s">
        <v>25</v>
      </c>
      <c r="Q7" s="56" t="s">
        <v>25</v>
      </c>
      <c r="R7" s="56" t="s">
        <v>25</v>
      </c>
      <c r="S7" s="56" t="s">
        <v>25</v>
      </c>
      <c r="T7" s="56" t="s">
        <v>25</v>
      </c>
      <c r="U7" s="56" t="s">
        <v>25</v>
      </c>
      <c r="V7" s="36" t="s">
        <v>9</v>
      </c>
      <c r="W7" s="56" t="s">
        <v>25</v>
      </c>
      <c r="X7" s="56" t="s">
        <v>25</v>
      </c>
      <c r="Y7" s="56" t="s">
        <v>25</v>
      </c>
      <c r="Z7" s="56" t="s">
        <v>25</v>
      </c>
      <c r="AA7" s="56" t="s">
        <v>25</v>
      </c>
      <c r="AB7" s="56" t="s">
        <v>25</v>
      </c>
      <c r="AC7" s="56" t="s">
        <v>25</v>
      </c>
      <c r="AD7" s="56" t="s">
        <v>25</v>
      </c>
      <c r="AE7" s="57" t="s">
        <v>39</v>
      </c>
      <c r="AF7" s="58">
        <f>2^22</f>
        <v>4194304</v>
      </c>
      <c r="AG7" s="72">
        <f t="shared" si="0"/>
        <v>4194302</v>
      </c>
      <c r="AH7" s="54" t="s">
        <v>40</v>
      </c>
      <c r="AI7" s="54" t="s">
        <v>41</v>
      </c>
      <c r="AJ7" s="8" t="s">
        <v>42</v>
      </c>
      <c r="AK7" s="12" t="s">
        <v>43</v>
      </c>
    </row>
    <row r="8" spans="1:37" s="46" customFormat="1" ht="20.25" customHeight="1">
      <c r="A8" s="47" t="s">
        <v>44</v>
      </c>
      <c r="B8" s="48">
        <f>2^3</f>
        <v>8</v>
      </c>
      <c r="C8" s="19" t="s">
        <v>14</v>
      </c>
      <c r="D8" s="36" t="s">
        <v>9</v>
      </c>
      <c r="E8" s="50" t="s">
        <v>32</v>
      </c>
      <c r="F8" s="50" t="s">
        <v>32</v>
      </c>
      <c r="G8" s="35" t="s">
        <v>32</v>
      </c>
      <c r="H8" s="50" t="s">
        <v>25</v>
      </c>
      <c r="I8" s="50" t="s">
        <v>25</v>
      </c>
      <c r="J8" s="50" t="s">
        <v>25</v>
      </c>
      <c r="K8" s="50" t="s">
        <v>25</v>
      </c>
      <c r="L8" s="50" t="s">
        <v>25</v>
      </c>
      <c r="M8" s="36" t="s">
        <v>9</v>
      </c>
      <c r="N8" s="50" t="s">
        <v>25</v>
      </c>
      <c r="O8" s="50" t="s">
        <v>25</v>
      </c>
      <c r="P8" s="50" t="s">
        <v>25</v>
      </c>
      <c r="Q8" s="50" t="s">
        <v>25</v>
      </c>
      <c r="R8" s="50" t="s">
        <v>25</v>
      </c>
      <c r="S8" s="50" t="s">
        <v>25</v>
      </c>
      <c r="T8" s="50" t="s">
        <v>25</v>
      </c>
      <c r="U8" s="50" t="s">
        <v>25</v>
      </c>
      <c r="V8" s="36" t="s">
        <v>9</v>
      </c>
      <c r="W8" s="50" t="s">
        <v>25</v>
      </c>
      <c r="X8" s="50" t="s">
        <v>25</v>
      </c>
      <c r="Y8" s="50" t="s">
        <v>25</v>
      </c>
      <c r="Z8" s="50" t="s">
        <v>25</v>
      </c>
      <c r="AA8" s="50" t="s">
        <v>25</v>
      </c>
      <c r="AB8" s="50" t="s">
        <v>25</v>
      </c>
      <c r="AC8" s="50" t="s">
        <v>25</v>
      </c>
      <c r="AD8" s="50" t="s">
        <v>25</v>
      </c>
      <c r="AE8" s="51" t="s">
        <v>45</v>
      </c>
      <c r="AF8" s="52">
        <f>2^21</f>
        <v>2097152</v>
      </c>
      <c r="AG8" s="71">
        <f t="shared" si="0"/>
        <v>2097150</v>
      </c>
      <c r="AH8" s="48" t="s">
        <v>46</v>
      </c>
      <c r="AI8" s="48" t="s">
        <v>47</v>
      </c>
      <c r="AJ8" s="3" t="s">
        <v>48</v>
      </c>
      <c r="AK8" s="11" t="s">
        <v>49</v>
      </c>
    </row>
    <row r="9" spans="1:37" s="59" customFormat="1" ht="20.25" customHeight="1">
      <c r="A9" s="53" t="s">
        <v>50</v>
      </c>
      <c r="B9" s="54">
        <f>2^4</f>
        <v>16</v>
      </c>
      <c r="C9" s="55" t="s">
        <v>14</v>
      </c>
      <c r="D9" s="36" t="s">
        <v>9</v>
      </c>
      <c r="E9" s="56" t="s">
        <v>32</v>
      </c>
      <c r="F9" s="56" t="s">
        <v>32</v>
      </c>
      <c r="G9" s="56" t="s">
        <v>32</v>
      </c>
      <c r="H9" s="20" t="s">
        <v>32</v>
      </c>
      <c r="I9" s="56" t="s">
        <v>25</v>
      </c>
      <c r="J9" s="56" t="s">
        <v>25</v>
      </c>
      <c r="K9" s="56" t="s">
        <v>25</v>
      </c>
      <c r="L9" s="56" t="s">
        <v>25</v>
      </c>
      <c r="M9" s="36" t="s">
        <v>9</v>
      </c>
      <c r="N9" s="56" t="s">
        <v>25</v>
      </c>
      <c r="O9" s="56" t="s">
        <v>25</v>
      </c>
      <c r="P9" s="56" t="s">
        <v>25</v>
      </c>
      <c r="Q9" s="56" t="s">
        <v>25</v>
      </c>
      <c r="R9" s="56" t="s">
        <v>25</v>
      </c>
      <c r="S9" s="56" t="s">
        <v>25</v>
      </c>
      <c r="T9" s="56" t="s">
        <v>25</v>
      </c>
      <c r="U9" s="56" t="s">
        <v>25</v>
      </c>
      <c r="V9" s="36" t="s">
        <v>9</v>
      </c>
      <c r="W9" s="56" t="s">
        <v>25</v>
      </c>
      <c r="X9" s="56" t="s">
        <v>25</v>
      </c>
      <c r="Y9" s="56" t="s">
        <v>25</v>
      </c>
      <c r="Z9" s="56" t="s">
        <v>25</v>
      </c>
      <c r="AA9" s="56" t="s">
        <v>25</v>
      </c>
      <c r="AB9" s="56" t="s">
        <v>25</v>
      </c>
      <c r="AC9" s="56" t="s">
        <v>25</v>
      </c>
      <c r="AD9" s="56" t="s">
        <v>25</v>
      </c>
      <c r="AE9" s="57" t="s">
        <v>51</v>
      </c>
      <c r="AF9" s="58">
        <f>2^20</f>
        <v>1048576</v>
      </c>
      <c r="AG9" s="72">
        <f t="shared" si="0"/>
        <v>1048574</v>
      </c>
      <c r="AH9" s="54" t="s">
        <v>52</v>
      </c>
      <c r="AI9" s="54" t="s">
        <v>53</v>
      </c>
      <c r="AJ9" s="8" t="s">
        <v>54</v>
      </c>
      <c r="AK9" s="12" t="s">
        <v>55</v>
      </c>
    </row>
    <row r="10" spans="1:37" s="46" customFormat="1" ht="20.25" customHeight="1">
      <c r="A10" s="47" t="s">
        <v>56</v>
      </c>
      <c r="B10" s="48">
        <f>2^5</f>
        <v>32</v>
      </c>
      <c r="C10" s="19" t="s">
        <v>14</v>
      </c>
      <c r="D10" s="36" t="s">
        <v>9</v>
      </c>
      <c r="E10" s="50" t="s">
        <v>32</v>
      </c>
      <c r="F10" s="50" t="s">
        <v>32</v>
      </c>
      <c r="G10" s="50" t="s">
        <v>32</v>
      </c>
      <c r="H10" s="50" t="s">
        <v>32</v>
      </c>
      <c r="I10" s="35" t="s">
        <v>32</v>
      </c>
      <c r="J10" s="50" t="s">
        <v>25</v>
      </c>
      <c r="K10" s="50" t="s">
        <v>25</v>
      </c>
      <c r="L10" s="50" t="s">
        <v>25</v>
      </c>
      <c r="M10" s="36" t="s">
        <v>9</v>
      </c>
      <c r="N10" s="50" t="s">
        <v>25</v>
      </c>
      <c r="O10" s="50" t="s">
        <v>25</v>
      </c>
      <c r="P10" s="50" t="s">
        <v>25</v>
      </c>
      <c r="Q10" s="50" t="s">
        <v>25</v>
      </c>
      <c r="R10" s="50" t="s">
        <v>25</v>
      </c>
      <c r="S10" s="50" t="s">
        <v>25</v>
      </c>
      <c r="T10" s="50" t="s">
        <v>25</v>
      </c>
      <c r="U10" s="50" t="s">
        <v>25</v>
      </c>
      <c r="V10" s="36" t="s">
        <v>9</v>
      </c>
      <c r="W10" s="50" t="s">
        <v>25</v>
      </c>
      <c r="X10" s="50" t="s">
        <v>25</v>
      </c>
      <c r="Y10" s="50" t="s">
        <v>25</v>
      </c>
      <c r="Z10" s="50" t="s">
        <v>25</v>
      </c>
      <c r="AA10" s="50" t="s">
        <v>25</v>
      </c>
      <c r="AB10" s="50" t="s">
        <v>25</v>
      </c>
      <c r="AC10" s="50" t="s">
        <v>25</v>
      </c>
      <c r="AD10" s="50" t="s">
        <v>25</v>
      </c>
      <c r="AE10" s="51" t="s">
        <v>57</v>
      </c>
      <c r="AF10" s="52">
        <f>2^19</f>
        <v>524288</v>
      </c>
      <c r="AG10" s="71">
        <f t="shared" si="0"/>
        <v>524286</v>
      </c>
      <c r="AH10" s="48" t="s">
        <v>58</v>
      </c>
      <c r="AI10" s="48" t="s">
        <v>59</v>
      </c>
      <c r="AJ10" s="3" t="s">
        <v>60</v>
      </c>
      <c r="AK10" s="11" t="s">
        <v>61</v>
      </c>
    </row>
    <row r="11" spans="1:37" s="59" customFormat="1" ht="20.25" customHeight="1">
      <c r="A11" s="53" t="s">
        <v>62</v>
      </c>
      <c r="B11" s="54">
        <f>2^6</f>
        <v>64</v>
      </c>
      <c r="C11" s="55" t="s">
        <v>14</v>
      </c>
      <c r="D11" s="36" t="s">
        <v>9</v>
      </c>
      <c r="E11" s="56" t="s">
        <v>32</v>
      </c>
      <c r="F11" s="56" t="s">
        <v>32</v>
      </c>
      <c r="G11" s="56" t="s">
        <v>32</v>
      </c>
      <c r="H11" s="56" t="s">
        <v>32</v>
      </c>
      <c r="I11" s="56" t="s">
        <v>32</v>
      </c>
      <c r="J11" s="20" t="s">
        <v>32</v>
      </c>
      <c r="K11" s="56" t="s">
        <v>25</v>
      </c>
      <c r="L11" s="56" t="s">
        <v>25</v>
      </c>
      <c r="M11" s="36" t="s">
        <v>9</v>
      </c>
      <c r="N11" s="56" t="s">
        <v>25</v>
      </c>
      <c r="O11" s="56" t="s">
        <v>25</v>
      </c>
      <c r="P11" s="56" t="s">
        <v>25</v>
      </c>
      <c r="Q11" s="56" t="s">
        <v>25</v>
      </c>
      <c r="R11" s="56" t="s">
        <v>25</v>
      </c>
      <c r="S11" s="56" t="s">
        <v>25</v>
      </c>
      <c r="T11" s="56" t="s">
        <v>25</v>
      </c>
      <c r="U11" s="56" t="s">
        <v>25</v>
      </c>
      <c r="V11" s="36" t="s">
        <v>9</v>
      </c>
      <c r="W11" s="56" t="s">
        <v>25</v>
      </c>
      <c r="X11" s="56" t="s">
        <v>25</v>
      </c>
      <c r="Y11" s="56" t="s">
        <v>25</v>
      </c>
      <c r="Z11" s="56" t="s">
        <v>25</v>
      </c>
      <c r="AA11" s="56" t="s">
        <v>25</v>
      </c>
      <c r="AB11" s="56" t="s">
        <v>25</v>
      </c>
      <c r="AC11" s="56" t="s">
        <v>25</v>
      </c>
      <c r="AD11" s="56" t="s">
        <v>25</v>
      </c>
      <c r="AE11" s="57" t="s">
        <v>63</v>
      </c>
      <c r="AF11" s="58">
        <f>2^18</f>
        <v>262144</v>
      </c>
      <c r="AG11" s="72">
        <f t="shared" si="0"/>
        <v>262142</v>
      </c>
      <c r="AH11" s="54" t="s">
        <v>64</v>
      </c>
      <c r="AI11" s="54" t="s">
        <v>65</v>
      </c>
      <c r="AJ11" s="8" t="s">
        <v>66</v>
      </c>
      <c r="AK11" s="12" t="s">
        <v>67</v>
      </c>
    </row>
    <row r="12" spans="1:37" s="46" customFormat="1" ht="20.25" customHeight="1">
      <c r="A12" s="73" t="s">
        <v>68</v>
      </c>
      <c r="B12" s="3">
        <f>2^7</f>
        <v>128</v>
      </c>
      <c r="C12" s="35" t="s">
        <v>14</v>
      </c>
      <c r="D12" s="36" t="s">
        <v>9</v>
      </c>
      <c r="E12" s="50" t="s">
        <v>32</v>
      </c>
      <c r="F12" s="50" t="s">
        <v>32</v>
      </c>
      <c r="G12" s="50" t="s">
        <v>32</v>
      </c>
      <c r="H12" s="50" t="s">
        <v>32</v>
      </c>
      <c r="I12" s="50" t="s">
        <v>32</v>
      </c>
      <c r="J12" s="50" t="s">
        <v>32</v>
      </c>
      <c r="K12" s="35" t="s">
        <v>32</v>
      </c>
      <c r="L12" s="50" t="s">
        <v>25</v>
      </c>
      <c r="M12" s="36" t="s">
        <v>9</v>
      </c>
      <c r="N12" s="50" t="s">
        <v>25</v>
      </c>
      <c r="O12" s="50" t="s">
        <v>25</v>
      </c>
      <c r="P12" s="50" t="s">
        <v>25</v>
      </c>
      <c r="Q12" s="50" t="s">
        <v>25</v>
      </c>
      <c r="R12" s="50" t="s">
        <v>25</v>
      </c>
      <c r="S12" s="50" t="s">
        <v>25</v>
      </c>
      <c r="T12" s="50" t="s">
        <v>25</v>
      </c>
      <c r="U12" s="50" t="s">
        <v>25</v>
      </c>
      <c r="V12" s="36" t="s">
        <v>9</v>
      </c>
      <c r="W12" s="50" t="s">
        <v>25</v>
      </c>
      <c r="X12" s="50" t="s">
        <v>25</v>
      </c>
      <c r="Y12" s="50" t="s">
        <v>25</v>
      </c>
      <c r="Z12" s="50" t="s">
        <v>25</v>
      </c>
      <c r="AA12" s="50" t="s">
        <v>25</v>
      </c>
      <c r="AB12" s="50" t="s">
        <v>25</v>
      </c>
      <c r="AC12" s="50" t="s">
        <v>25</v>
      </c>
      <c r="AD12" s="50" t="s">
        <v>25</v>
      </c>
      <c r="AE12" s="51" t="s">
        <v>69</v>
      </c>
      <c r="AF12" s="52">
        <f>2^17</f>
        <v>131072</v>
      </c>
      <c r="AG12" s="50">
        <f t="shared" si="0"/>
        <v>131070</v>
      </c>
      <c r="AH12" s="3" t="s">
        <v>70</v>
      </c>
      <c r="AI12" s="50" t="s">
        <v>71</v>
      </c>
      <c r="AJ12" s="3" t="s">
        <v>72</v>
      </c>
      <c r="AK12" s="11" t="s">
        <v>73</v>
      </c>
    </row>
    <row r="13" spans="1:37" s="59" customFormat="1" ht="20.25" customHeight="1">
      <c r="A13" s="74" t="s">
        <v>74</v>
      </c>
      <c r="B13" s="9">
        <f>2^8</f>
        <v>256</v>
      </c>
      <c r="C13" s="75" t="s">
        <v>14</v>
      </c>
      <c r="D13" s="40" t="s">
        <v>9</v>
      </c>
      <c r="E13" s="76" t="s">
        <v>32</v>
      </c>
      <c r="F13" s="76" t="s">
        <v>32</v>
      </c>
      <c r="G13" s="76" t="s">
        <v>32</v>
      </c>
      <c r="H13" s="76" t="s">
        <v>32</v>
      </c>
      <c r="I13" s="76" t="s">
        <v>32</v>
      </c>
      <c r="J13" s="76" t="s">
        <v>32</v>
      </c>
      <c r="K13" s="76" t="s">
        <v>32</v>
      </c>
      <c r="L13" s="75" t="s">
        <v>32</v>
      </c>
      <c r="M13" s="40" t="s">
        <v>9</v>
      </c>
      <c r="N13" s="76" t="s">
        <v>25</v>
      </c>
      <c r="O13" s="76" t="s">
        <v>25</v>
      </c>
      <c r="P13" s="76" t="s">
        <v>25</v>
      </c>
      <c r="Q13" s="76" t="s">
        <v>25</v>
      </c>
      <c r="R13" s="76" t="s">
        <v>25</v>
      </c>
      <c r="S13" s="76" t="s">
        <v>25</v>
      </c>
      <c r="T13" s="76" t="s">
        <v>25</v>
      </c>
      <c r="U13" s="76" t="s">
        <v>25</v>
      </c>
      <c r="V13" s="40" t="s">
        <v>9</v>
      </c>
      <c r="W13" s="76" t="s">
        <v>25</v>
      </c>
      <c r="X13" s="76" t="s">
        <v>25</v>
      </c>
      <c r="Y13" s="76" t="s">
        <v>25</v>
      </c>
      <c r="Z13" s="76" t="s">
        <v>25</v>
      </c>
      <c r="AA13" s="76" t="s">
        <v>25</v>
      </c>
      <c r="AB13" s="76" t="s">
        <v>25</v>
      </c>
      <c r="AC13" s="76" t="s">
        <v>25</v>
      </c>
      <c r="AD13" s="76" t="s">
        <v>25</v>
      </c>
      <c r="AE13" s="77" t="s">
        <v>75</v>
      </c>
      <c r="AF13" s="78">
        <f>2^16</f>
        <v>65536</v>
      </c>
      <c r="AG13" s="76">
        <f t="shared" si="0"/>
        <v>65534</v>
      </c>
      <c r="AH13" s="9" t="s">
        <v>76</v>
      </c>
      <c r="AI13" s="76" t="s">
        <v>77</v>
      </c>
      <c r="AJ13" s="9" t="s">
        <v>78</v>
      </c>
      <c r="AK13" s="13" t="s">
        <v>79</v>
      </c>
    </row>
    <row r="14" spans="1:37" s="46" customFormat="1" ht="20.25" customHeight="1">
      <c r="A14" s="73" t="s">
        <v>80</v>
      </c>
      <c r="B14" s="3">
        <f>2^9</f>
        <v>512</v>
      </c>
      <c r="C14" s="35" t="s">
        <v>14</v>
      </c>
      <c r="D14" s="36" t="s">
        <v>9</v>
      </c>
      <c r="E14" s="50" t="s">
        <v>32</v>
      </c>
      <c r="F14" s="50" t="s">
        <v>32</v>
      </c>
      <c r="G14" s="50" t="s">
        <v>32</v>
      </c>
      <c r="H14" s="50" t="s">
        <v>32</v>
      </c>
      <c r="I14" s="50" t="s">
        <v>32</v>
      </c>
      <c r="J14" s="50" t="s">
        <v>32</v>
      </c>
      <c r="K14" s="50" t="s">
        <v>32</v>
      </c>
      <c r="L14" s="50" t="s">
        <v>32</v>
      </c>
      <c r="M14" s="36" t="s">
        <v>9</v>
      </c>
      <c r="N14" s="35" t="s">
        <v>32</v>
      </c>
      <c r="O14" s="50" t="s">
        <v>25</v>
      </c>
      <c r="P14" s="50" t="s">
        <v>25</v>
      </c>
      <c r="Q14" s="50" t="s">
        <v>25</v>
      </c>
      <c r="R14" s="50" t="s">
        <v>25</v>
      </c>
      <c r="S14" s="50" t="s">
        <v>25</v>
      </c>
      <c r="T14" s="50" t="s">
        <v>25</v>
      </c>
      <c r="U14" s="50" t="s">
        <v>25</v>
      </c>
      <c r="V14" s="36" t="s">
        <v>9</v>
      </c>
      <c r="W14" s="50" t="s">
        <v>25</v>
      </c>
      <c r="X14" s="50" t="s">
        <v>25</v>
      </c>
      <c r="Y14" s="50" t="s">
        <v>25</v>
      </c>
      <c r="Z14" s="50" t="s">
        <v>25</v>
      </c>
      <c r="AA14" s="50" t="s">
        <v>25</v>
      </c>
      <c r="AB14" s="50" t="s">
        <v>25</v>
      </c>
      <c r="AC14" s="50" t="s">
        <v>25</v>
      </c>
      <c r="AD14" s="50" t="s">
        <v>25</v>
      </c>
      <c r="AE14" s="51" t="s">
        <v>81</v>
      </c>
      <c r="AF14" s="52">
        <f>2^15</f>
        <v>32768</v>
      </c>
      <c r="AG14" s="50">
        <f t="shared" si="0"/>
        <v>32766</v>
      </c>
      <c r="AH14" s="3" t="s">
        <v>82</v>
      </c>
      <c r="AI14" s="50" t="s">
        <v>83</v>
      </c>
      <c r="AJ14" s="3" t="s">
        <v>84</v>
      </c>
      <c r="AK14" s="11" t="s">
        <v>85</v>
      </c>
    </row>
    <row r="15" spans="1:37" s="59" customFormat="1" ht="20.25" customHeight="1">
      <c r="A15" s="79" t="s">
        <v>86</v>
      </c>
      <c r="B15" s="8">
        <f>2^10</f>
        <v>1024</v>
      </c>
      <c r="C15" s="20" t="s">
        <v>14</v>
      </c>
      <c r="D15" s="36" t="s">
        <v>9</v>
      </c>
      <c r="E15" s="56" t="s">
        <v>32</v>
      </c>
      <c r="F15" s="56" t="s">
        <v>32</v>
      </c>
      <c r="G15" s="56" t="s">
        <v>32</v>
      </c>
      <c r="H15" s="56" t="s">
        <v>32</v>
      </c>
      <c r="I15" s="56" t="s">
        <v>32</v>
      </c>
      <c r="J15" s="56" t="s">
        <v>32</v>
      </c>
      <c r="K15" s="56" t="s">
        <v>32</v>
      </c>
      <c r="L15" s="56" t="s">
        <v>32</v>
      </c>
      <c r="M15" s="36" t="s">
        <v>9</v>
      </c>
      <c r="N15" s="56" t="s">
        <v>32</v>
      </c>
      <c r="O15" s="20" t="s">
        <v>32</v>
      </c>
      <c r="P15" s="56" t="s">
        <v>25</v>
      </c>
      <c r="Q15" s="56" t="s">
        <v>25</v>
      </c>
      <c r="R15" s="56" t="s">
        <v>25</v>
      </c>
      <c r="S15" s="56" t="s">
        <v>25</v>
      </c>
      <c r="T15" s="56" t="s">
        <v>25</v>
      </c>
      <c r="U15" s="56" t="s">
        <v>25</v>
      </c>
      <c r="V15" s="36" t="s">
        <v>9</v>
      </c>
      <c r="W15" s="56" t="s">
        <v>25</v>
      </c>
      <c r="X15" s="56" t="s">
        <v>25</v>
      </c>
      <c r="Y15" s="56" t="s">
        <v>25</v>
      </c>
      <c r="Z15" s="56" t="s">
        <v>25</v>
      </c>
      <c r="AA15" s="56" t="s">
        <v>25</v>
      </c>
      <c r="AB15" s="56" t="s">
        <v>25</v>
      </c>
      <c r="AC15" s="56" t="s">
        <v>25</v>
      </c>
      <c r="AD15" s="56" t="s">
        <v>25</v>
      </c>
      <c r="AE15" s="57" t="s">
        <v>87</v>
      </c>
      <c r="AF15" s="58">
        <f>2^14</f>
        <v>16384</v>
      </c>
      <c r="AG15" s="56">
        <f t="shared" si="0"/>
        <v>16382</v>
      </c>
      <c r="AH15" s="8" t="s">
        <v>88</v>
      </c>
      <c r="AI15" s="56" t="s">
        <v>89</v>
      </c>
      <c r="AJ15" s="8" t="s">
        <v>90</v>
      </c>
      <c r="AK15" s="12" t="s">
        <v>91</v>
      </c>
    </row>
    <row r="16" spans="1:37" s="46" customFormat="1" ht="20.25" customHeight="1">
      <c r="A16" s="73" t="s">
        <v>92</v>
      </c>
      <c r="B16" s="3">
        <f>2^11</f>
        <v>2048</v>
      </c>
      <c r="C16" s="35" t="s">
        <v>14</v>
      </c>
      <c r="D16" s="36" t="s">
        <v>9</v>
      </c>
      <c r="E16" s="50" t="s">
        <v>32</v>
      </c>
      <c r="F16" s="50" t="s">
        <v>32</v>
      </c>
      <c r="G16" s="50" t="s">
        <v>32</v>
      </c>
      <c r="H16" s="50" t="s">
        <v>32</v>
      </c>
      <c r="I16" s="50" t="s">
        <v>32</v>
      </c>
      <c r="J16" s="50" t="s">
        <v>32</v>
      </c>
      <c r="K16" s="50" t="s">
        <v>32</v>
      </c>
      <c r="L16" s="50" t="s">
        <v>32</v>
      </c>
      <c r="M16" s="36" t="s">
        <v>9</v>
      </c>
      <c r="N16" s="50" t="s">
        <v>32</v>
      </c>
      <c r="O16" s="50" t="s">
        <v>32</v>
      </c>
      <c r="P16" s="35" t="s">
        <v>32</v>
      </c>
      <c r="Q16" s="50" t="s">
        <v>25</v>
      </c>
      <c r="R16" s="50" t="s">
        <v>25</v>
      </c>
      <c r="S16" s="50" t="s">
        <v>25</v>
      </c>
      <c r="T16" s="50" t="s">
        <v>25</v>
      </c>
      <c r="U16" s="50" t="s">
        <v>25</v>
      </c>
      <c r="V16" s="36" t="s">
        <v>9</v>
      </c>
      <c r="W16" s="50" t="s">
        <v>25</v>
      </c>
      <c r="X16" s="50" t="s">
        <v>25</v>
      </c>
      <c r="Y16" s="50" t="s">
        <v>25</v>
      </c>
      <c r="Z16" s="50" t="s">
        <v>25</v>
      </c>
      <c r="AA16" s="50" t="s">
        <v>25</v>
      </c>
      <c r="AB16" s="50" t="s">
        <v>25</v>
      </c>
      <c r="AC16" s="50" t="s">
        <v>25</v>
      </c>
      <c r="AD16" s="50" t="s">
        <v>25</v>
      </c>
      <c r="AE16" s="51" t="s">
        <v>93</v>
      </c>
      <c r="AF16" s="52">
        <f>2^13</f>
        <v>8192</v>
      </c>
      <c r="AG16" s="50">
        <f t="shared" si="0"/>
        <v>8190</v>
      </c>
      <c r="AH16" s="3" t="s">
        <v>94</v>
      </c>
      <c r="AI16" s="50" t="s">
        <v>95</v>
      </c>
      <c r="AJ16" s="3" t="s">
        <v>96</v>
      </c>
      <c r="AK16" s="11" t="s">
        <v>97</v>
      </c>
    </row>
    <row r="17" spans="1:37" s="59" customFormat="1" ht="20.25" customHeight="1">
      <c r="A17" s="79" t="s">
        <v>98</v>
      </c>
      <c r="B17" s="8">
        <f>2^12</f>
        <v>4096</v>
      </c>
      <c r="C17" s="20" t="s">
        <v>14</v>
      </c>
      <c r="D17" s="36" t="s">
        <v>9</v>
      </c>
      <c r="E17" s="56" t="s">
        <v>32</v>
      </c>
      <c r="F17" s="56" t="s">
        <v>32</v>
      </c>
      <c r="G17" s="56" t="s">
        <v>32</v>
      </c>
      <c r="H17" s="56" t="s">
        <v>32</v>
      </c>
      <c r="I17" s="56" t="s">
        <v>32</v>
      </c>
      <c r="J17" s="56" t="s">
        <v>32</v>
      </c>
      <c r="K17" s="56" t="s">
        <v>32</v>
      </c>
      <c r="L17" s="56" t="s">
        <v>32</v>
      </c>
      <c r="M17" s="36" t="s">
        <v>9</v>
      </c>
      <c r="N17" s="56" t="s">
        <v>32</v>
      </c>
      <c r="O17" s="56" t="s">
        <v>32</v>
      </c>
      <c r="P17" s="56" t="s">
        <v>32</v>
      </c>
      <c r="Q17" s="20" t="s">
        <v>32</v>
      </c>
      <c r="R17" s="56" t="s">
        <v>25</v>
      </c>
      <c r="S17" s="56" t="s">
        <v>25</v>
      </c>
      <c r="T17" s="56" t="s">
        <v>25</v>
      </c>
      <c r="U17" s="56" t="s">
        <v>25</v>
      </c>
      <c r="V17" s="36" t="s">
        <v>9</v>
      </c>
      <c r="W17" s="56" t="s">
        <v>25</v>
      </c>
      <c r="X17" s="56" t="s">
        <v>25</v>
      </c>
      <c r="Y17" s="56" t="s">
        <v>25</v>
      </c>
      <c r="Z17" s="56" t="s">
        <v>25</v>
      </c>
      <c r="AA17" s="56" t="s">
        <v>25</v>
      </c>
      <c r="AB17" s="56" t="s">
        <v>25</v>
      </c>
      <c r="AC17" s="56" t="s">
        <v>25</v>
      </c>
      <c r="AD17" s="56" t="s">
        <v>25</v>
      </c>
      <c r="AE17" s="57" t="s">
        <v>98</v>
      </c>
      <c r="AF17" s="58">
        <f>2^12</f>
        <v>4096</v>
      </c>
      <c r="AG17" s="56">
        <f t="shared" si="0"/>
        <v>4094</v>
      </c>
      <c r="AH17" s="8" t="s">
        <v>99</v>
      </c>
      <c r="AI17" s="56" t="s">
        <v>100</v>
      </c>
      <c r="AJ17" s="8" t="s">
        <v>101</v>
      </c>
      <c r="AK17" s="12" t="s">
        <v>102</v>
      </c>
    </row>
    <row r="18" spans="1:37" s="46" customFormat="1" ht="20.25" customHeight="1">
      <c r="A18" s="73" t="s">
        <v>93</v>
      </c>
      <c r="B18" s="3">
        <f>2^13</f>
        <v>8192</v>
      </c>
      <c r="C18" s="35" t="s">
        <v>14</v>
      </c>
      <c r="D18" s="36" t="s">
        <v>9</v>
      </c>
      <c r="E18" s="50" t="s">
        <v>32</v>
      </c>
      <c r="F18" s="50" t="s">
        <v>32</v>
      </c>
      <c r="G18" s="50" t="s">
        <v>32</v>
      </c>
      <c r="H18" s="50" t="s">
        <v>32</v>
      </c>
      <c r="I18" s="50" t="s">
        <v>32</v>
      </c>
      <c r="J18" s="50" t="s">
        <v>32</v>
      </c>
      <c r="K18" s="50" t="s">
        <v>32</v>
      </c>
      <c r="L18" s="50" t="s">
        <v>32</v>
      </c>
      <c r="M18" s="36" t="s">
        <v>9</v>
      </c>
      <c r="N18" s="50" t="s">
        <v>32</v>
      </c>
      <c r="O18" s="50" t="s">
        <v>32</v>
      </c>
      <c r="P18" s="50" t="s">
        <v>32</v>
      </c>
      <c r="Q18" s="50" t="s">
        <v>32</v>
      </c>
      <c r="R18" s="35" t="s">
        <v>32</v>
      </c>
      <c r="S18" s="50" t="s">
        <v>25</v>
      </c>
      <c r="T18" s="50" t="s">
        <v>25</v>
      </c>
      <c r="U18" s="50" t="s">
        <v>25</v>
      </c>
      <c r="V18" s="36" t="s">
        <v>9</v>
      </c>
      <c r="W18" s="50" t="s">
        <v>25</v>
      </c>
      <c r="X18" s="50" t="s">
        <v>25</v>
      </c>
      <c r="Y18" s="50" t="s">
        <v>25</v>
      </c>
      <c r="Z18" s="50" t="s">
        <v>25</v>
      </c>
      <c r="AA18" s="50" t="s">
        <v>25</v>
      </c>
      <c r="AB18" s="50" t="s">
        <v>25</v>
      </c>
      <c r="AC18" s="50" t="s">
        <v>25</v>
      </c>
      <c r="AD18" s="50" t="s">
        <v>25</v>
      </c>
      <c r="AE18" s="51" t="s">
        <v>92</v>
      </c>
      <c r="AF18" s="52">
        <f>2^11</f>
        <v>2048</v>
      </c>
      <c r="AG18" s="50">
        <f t="shared" si="0"/>
        <v>2046</v>
      </c>
      <c r="AH18" s="3" t="s">
        <v>103</v>
      </c>
      <c r="AI18" s="50" t="s">
        <v>104</v>
      </c>
      <c r="AJ18" s="3" t="s">
        <v>105</v>
      </c>
      <c r="AK18" s="11" t="s">
        <v>106</v>
      </c>
    </row>
    <row r="19" spans="1:37" s="59" customFormat="1" ht="20.25" customHeight="1">
      <c r="A19" s="79" t="s">
        <v>87</v>
      </c>
      <c r="B19" s="8">
        <f>2^14</f>
        <v>16384</v>
      </c>
      <c r="C19" s="20" t="s">
        <v>14</v>
      </c>
      <c r="D19" s="36" t="s">
        <v>9</v>
      </c>
      <c r="E19" s="56" t="s">
        <v>32</v>
      </c>
      <c r="F19" s="56" t="s">
        <v>32</v>
      </c>
      <c r="G19" s="56" t="s">
        <v>32</v>
      </c>
      <c r="H19" s="56" t="s">
        <v>32</v>
      </c>
      <c r="I19" s="56" t="s">
        <v>32</v>
      </c>
      <c r="J19" s="56" t="s">
        <v>32</v>
      </c>
      <c r="K19" s="56" t="s">
        <v>32</v>
      </c>
      <c r="L19" s="56" t="s">
        <v>32</v>
      </c>
      <c r="M19" s="36" t="s">
        <v>9</v>
      </c>
      <c r="N19" s="56" t="s">
        <v>32</v>
      </c>
      <c r="O19" s="56" t="s">
        <v>32</v>
      </c>
      <c r="P19" s="56" t="s">
        <v>32</v>
      </c>
      <c r="Q19" s="56" t="s">
        <v>32</v>
      </c>
      <c r="R19" s="56" t="s">
        <v>32</v>
      </c>
      <c r="S19" s="20" t="s">
        <v>32</v>
      </c>
      <c r="T19" s="56" t="s">
        <v>25</v>
      </c>
      <c r="U19" s="56" t="s">
        <v>25</v>
      </c>
      <c r="V19" s="36" t="s">
        <v>9</v>
      </c>
      <c r="W19" s="56" t="s">
        <v>25</v>
      </c>
      <c r="X19" s="56" t="s">
        <v>25</v>
      </c>
      <c r="Y19" s="56" t="s">
        <v>25</v>
      </c>
      <c r="Z19" s="56" t="s">
        <v>25</v>
      </c>
      <c r="AA19" s="56" t="s">
        <v>25</v>
      </c>
      <c r="AB19" s="56" t="s">
        <v>25</v>
      </c>
      <c r="AC19" s="56" t="s">
        <v>25</v>
      </c>
      <c r="AD19" s="56" t="s">
        <v>25</v>
      </c>
      <c r="AE19" s="57" t="s">
        <v>86</v>
      </c>
      <c r="AF19" s="58">
        <f>2^10</f>
        <v>1024</v>
      </c>
      <c r="AG19" s="56">
        <f t="shared" si="0"/>
        <v>1022</v>
      </c>
      <c r="AH19" s="8" t="s">
        <v>107</v>
      </c>
      <c r="AI19" s="56" t="s">
        <v>108</v>
      </c>
      <c r="AJ19" s="8" t="s">
        <v>109</v>
      </c>
      <c r="AK19" s="12" t="s">
        <v>110</v>
      </c>
    </row>
    <row r="20" spans="1:37" s="46" customFormat="1" ht="20.25" customHeight="1">
      <c r="A20" s="73" t="s">
        <v>81</v>
      </c>
      <c r="B20" s="3">
        <f>2^15</f>
        <v>32768</v>
      </c>
      <c r="C20" s="35" t="s">
        <v>14</v>
      </c>
      <c r="D20" s="36" t="s">
        <v>9</v>
      </c>
      <c r="E20" s="50" t="s">
        <v>32</v>
      </c>
      <c r="F20" s="50" t="s">
        <v>32</v>
      </c>
      <c r="G20" s="50" t="s">
        <v>32</v>
      </c>
      <c r="H20" s="50" t="s">
        <v>32</v>
      </c>
      <c r="I20" s="50" t="s">
        <v>32</v>
      </c>
      <c r="J20" s="50" t="s">
        <v>32</v>
      </c>
      <c r="K20" s="50" t="s">
        <v>32</v>
      </c>
      <c r="L20" s="50" t="s">
        <v>32</v>
      </c>
      <c r="M20" s="36" t="s">
        <v>9</v>
      </c>
      <c r="N20" s="50" t="s">
        <v>32</v>
      </c>
      <c r="O20" s="50" t="s">
        <v>32</v>
      </c>
      <c r="P20" s="50" t="s">
        <v>32</v>
      </c>
      <c r="Q20" s="50" t="s">
        <v>32</v>
      </c>
      <c r="R20" s="50" t="s">
        <v>32</v>
      </c>
      <c r="S20" s="50" t="s">
        <v>32</v>
      </c>
      <c r="T20" s="35" t="s">
        <v>32</v>
      </c>
      <c r="U20" s="50" t="s">
        <v>25</v>
      </c>
      <c r="V20" s="36" t="s">
        <v>9</v>
      </c>
      <c r="W20" s="50" t="s">
        <v>25</v>
      </c>
      <c r="X20" s="50" t="s">
        <v>25</v>
      </c>
      <c r="Y20" s="50" t="s">
        <v>25</v>
      </c>
      <c r="Z20" s="50" t="s">
        <v>25</v>
      </c>
      <c r="AA20" s="50" t="s">
        <v>25</v>
      </c>
      <c r="AB20" s="50" t="s">
        <v>25</v>
      </c>
      <c r="AC20" s="50" t="s">
        <v>25</v>
      </c>
      <c r="AD20" s="50" t="s">
        <v>25</v>
      </c>
      <c r="AE20" s="51" t="s">
        <v>80</v>
      </c>
      <c r="AF20" s="52">
        <f>2^9</f>
        <v>512</v>
      </c>
      <c r="AG20" s="50">
        <f t="shared" si="0"/>
        <v>510</v>
      </c>
      <c r="AH20" s="3" t="s">
        <v>111</v>
      </c>
      <c r="AI20" s="50" t="s">
        <v>112</v>
      </c>
      <c r="AJ20" s="3" t="s">
        <v>113</v>
      </c>
      <c r="AK20" s="11" t="s">
        <v>114</v>
      </c>
    </row>
    <row r="21" spans="1:37" s="59" customFormat="1" ht="20.25" customHeight="1">
      <c r="A21" s="74" t="s">
        <v>75</v>
      </c>
      <c r="B21" s="9">
        <f>2^16</f>
        <v>65536</v>
      </c>
      <c r="C21" s="75" t="s">
        <v>14</v>
      </c>
      <c r="D21" s="40" t="s">
        <v>9</v>
      </c>
      <c r="E21" s="76" t="s">
        <v>32</v>
      </c>
      <c r="F21" s="76" t="s">
        <v>32</v>
      </c>
      <c r="G21" s="76" t="s">
        <v>32</v>
      </c>
      <c r="H21" s="76" t="s">
        <v>32</v>
      </c>
      <c r="I21" s="76" t="s">
        <v>32</v>
      </c>
      <c r="J21" s="76" t="s">
        <v>32</v>
      </c>
      <c r="K21" s="76" t="s">
        <v>32</v>
      </c>
      <c r="L21" s="76" t="s">
        <v>32</v>
      </c>
      <c r="M21" s="40" t="s">
        <v>9</v>
      </c>
      <c r="N21" s="76" t="s">
        <v>32</v>
      </c>
      <c r="O21" s="76" t="s">
        <v>32</v>
      </c>
      <c r="P21" s="76" t="s">
        <v>32</v>
      </c>
      <c r="Q21" s="76" t="s">
        <v>32</v>
      </c>
      <c r="R21" s="76" t="s">
        <v>32</v>
      </c>
      <c r="S21" s="76" t="s">
        <v>32</v>
      </c>
      <c r="T21" s="76" t="s">
        <v>32</v>
      </c>
      <c r="U21" s="75" t="s">
        <v>32</v>
      </c>
      <c r="V21" s="40" t="s">
        <v>9</v>
      </c>
      <c r="W21" s="76" t="s">
        <v>25</v>
      </c>
      <c r="X21" s="76" t="s">
        <v>25</v>
      </c>
      <c r="Y21" s="76" t="s">
        <v>25</v>
      </c>
      <c r="Z21" s="76" t="s">
        <v>25</v>
      </c>
      <c r="AA21" s="76" t="s">
        <v>25</v>
      </c>
      <c r="AB21" s="76" t="s">
        <v>25</v>
      </c>
      <c r="AC21" s="76" t="s">
        <v>25</v>
      </c>
      <c r="AD21" s="76" t="s">
        <v>25</v>
      </c>
      <c r="AE21" s="77" t="s">
        <v>74</v>
      </c>
      <c r="AF21" s="78">
        <f>2^8</f>
        <v>256</v>
      </c>
      <c r="AG21" s="76">
        <f t="shared" si="0"/>
        <v>254</v>
      </c>
      <c r="AH21" s="9" t="s">
        <v>115</v>
      </c>
      <c r="AI21" s="76" t="s">
        <v>116</v>
      </c>
      <c r="AJ21" s="9" t="s">
        <v>117</v>
      </c>
      <c r="AK21" s="13" t="s">
        <v>118</v>
      </c>
    </row>
    <row r="22" spans="1:37" s="46" customFormat="1" ht="20.25" customHeight="1">
      <c r="A22" s="47" t="s">
        <v>69</v>
      </c>
      <c r="B22" s="48">
        <f>2^17</f>
        <v>131072</v>
      </c>
      <c r="C22" s="19" t="s">
        <v>14</v>
      </c>
      <c r="D22" s="36" t="s">
        <v>9</v>
      </c>
      <c r="E22" s="50" t="s">
        <v>32</v>
      </c>
      <c r="F22" s="50" t="s">
        <v>32</v>
      </c>
      <c r="G22" s="50" t="s">
        <v>32</v>
      </c>
      <c r="H22" s="50" t="s">
        <v>32</v>
      </c>
      <c r="I22" s="50" t="s">
        <v>32</v>
      </c>
      <c r="J22" s="50" t="s">
        <v>32</v>
      </c>
      <c r="K22" s="50" t="s">
        <v>32</v>
      </c>
      <c r="L22" s="50" t="s">
        <v>32</v>
      </c>
      <c r="M22" s="36" t="s">
        <v>9</v>
      </c>
      <c r="N22" s="50" t="s">
        <v>32</v>
      </c>
      <c r="O22" s="50" t="s">
        <v>32</v>
      </c>
      <c r="P22" s="50" t="s">
        <v>32</v>
      </c>
      <c r="Q22" s="50" t="s">
        <v>32</v>
      </c>
      <c r="R22" s="50" t="s">
        <v>32</v>
      </c>
      <c r="S22" s="50" t="s">
        <v>32</v>
      </c>
      <c r="T22" s="50" t="s">
        <v>32</v>
      </c>
      <c r="U22" s="50" t="s">
        <v>32</v>
      </c>
      <c r="V22" s="36" t="s">
        <v>9</v>
      </c>
      <c r="W22" s="35" t="s">
        <v>32</v>
      </c>
      <c r="X22" s="50" t="s">
        <v>25</v>
      </c>
      <c r="Y22" s="50" t="s">
        <v>25</v>
      </c>
      <c r="Z22" s="50" t="s">
        <v>25</v>
      </c>
      <c r="AA22" s="50" t="s">
        <v>25</v>
      </c>
      <c r="AB22" s="50" t="s">
        <v>25</v>
      </c>
      <c r="AC22" s="50" t="s">
        <v>25</v>
      </c>
      <c r="AD22" s="50" t="s">
        <v>25</v>
      </c>
      <c r="AE22" s="51" t="s">
        <v>68</v>
      </c>
      <c r="AF22" s="52">
        <f>2^7</f>
        <v>128</v>
      </c>
      <c r="AG22" s="50">
        <f t="shared" si="0"/>
        <v>126</v>
      </c>
      <c r="AH22" s="3" t="s">
        <v>119</v>
      </c>
      <c r="AI22" s="50" t="s">
        <v>120</v>
      </c>
      <c r="AJ22" s="3" t="s">
        <v>121</v>
      </c>
      <c r="AK22" s="11" t="s">
        <v>122</v>
      </c>
    </row>
    <row r="23" spans="1:37" s="59" customFormat="1" ht="20.25" customHeight="1">
      <c r="A23" s="53" t="s">
        <v>63</v>
      </c>
      <c r="B23" s="54">
        <f>2^18</f>
        <v>262144</v>
      </c>
      <c r="C23" s="55" t="s">
        <v>14</v>
      </c>
      <c r="D23" s="36" t="s">
        <v>9</v>
      </c>
      <c r="E23" s="56" t="s">
        <v>32</v>
      </c>
      <c r="F23" s="56" t="s">
        <v>32</v>
      </c>
      <c r="G23" s="56" t="s">
        <v>32</v>
      </c>
      <c r="H23" s="56" t="s">
        <v>32</v>
      </c>
      <c r="I23" s="56" t="s">
        <v>32</v>
      </c>
      <c r="J23" s="56" t="s">
        <v>32</v>
      </c>
      <c r="K23" s="56" t="s">
        <v>32</v>
      </c>
      <c r="L23" s="56" t="s">
        <v>32</v>
      </c>
      <c r="M23" s="36" t="s">
        <v>9</v>
      </c>
      <c r="N23" s="56" t="s">
        <v>32</v>
      </c>
      <c r="O23" s="56" t="s">
        <v>32</v>
      </c>
      <c r="P23" s="56" t="s">
        <v>32</v>
      </c>
      <c r="Q23" s="56" t="s">
        <v>32</v>
      </c>
      <c r="R23" s="56" t="s">
        <v>32</v>
      </c>
      <c r="S23" s="56" t="s">
        <v>32</v>
      </c>
      <c r="T23" s="56" t="s">
        <v>32</v>
      </c>
      <c r="U23" s="56" t="s">
        <v>32</v>
      </c>
      <c r="V23" s="36" t="s">
        <v>9</v>
      </c>
      <c r="W23" s="56" t="s">
        <v>32</v>
      </c>
      <c r="X23" s="20" t="s">
        <v>32</v>
      </c>
      <c r="Y23" s="56" t="s">
        <v>25</v>
      </c>
      <c r="Z23" s="56" t="s">
        <v>25</v>
      </c>
      <c r="AA23" s="56" t="s">
        <v>25</v>
      </c>
      <c r="AB23" s="56" t="s">
        <v>25</v>
      </c>
      <c r="AC23" s="56" t="s">
        <v>25</v>
      </c>
      <c r="AD23" s="56" t="s">
        <v>25</v>
      </c>
      <c r="AE23" s="57" t="s">
        <v>62</v>
      </c>
      <c r="AF23" s="58">
        <f>2^6</f>
        <v>64</v>
      </c>
      <c r="AG23" s="56">
        <f t="shared" si="0"/>
        <v>62</v>
      </c>
      <c r="AH23" s="8" t="s">
        <v>123</v>
      </c>
      <c r="AI23" s="56" t="s">
        <v>124</v>
      </c>
      <c r="AJ23" s="8" t="s">
        <v>125</v>
      </c>
      <c r="AK23" s="12" t="s">
        <v>126</v>
      </c>
    </row>
    <row r="24" spans="1:37" s="46" customFormat="1" ht="20.25" customHeight="1">
      <c r="A24" s="47" t="s">
        <v>57</v>
      </c>
      <c r="B24" s="48">
        <f>2^19</f>
        <v>524288</v>
      </c>
      <c r="C24" s="19" t="s">
        <v>14</v>
      </c>
      <c r="D24" s="36" t="s">
        <v>9</v>
      </c>
      <c r="E24" s="50" t="s">
        <v>32</v>
      </c>
      <c r="F24" s="50" t="s">
        <v>32</v>
      </c>
      <c r="G24" s="50" t="s">
        <v>32</v>
      </c>
      <c r="H24" s="50" t="s">
        <v>32</v>
      </c>
      <c r="I24" s="50" t="s">
        <v>32</v>
      </c>
      <c r="J24" s="50" t="s">
        <v>32</v>
      </c>
      <c r="K24" s="50" t="s">
        <v>32</v>
      </c>
      <c r="L24" s="50" t="s">
        <v>32</v>
      </c>
      <c r="M24" s="36" t="s">
        <v>9</v>
      </c>
      <c r="N24" s="50" t="s">
        <v>32</v>
      </c>
      <c r="O24" s="50" t="s">
        <v>32</v>
      </c>
      <c r="P24" s="50" t="s">
        <v>32</v>
      </c>
      <c r="Q24" s="50" t="s">
        <v>32</v>
      </c>
      <c r="R24" s="50" t="s">
        <v>32</v>
      </c>
      <c r="S24" s="50" t="s">
        <v>32</v>
      </c>
      <c r="T24" s="50" t="s">
        <v>32</v>
      </c>
      <c r="U24" s="50" t="s">
        <v>32</v>
      </c>
      <c r="V24" s="36" t="s">
        <v>9</v>
      </c>
      <c r="W24" s="50" t="s">
        <v>32</v>
      </c>
      <c r="X24" s="50" t="s">
        <v>32</v>
      </c>
      <c r="Y24" s="35" t="s">
        <v>32</v>
      </c>
      <c r="Z24" s="50" t="s">
        <v>25</v>
      </c>
      <c r="AA24" s="50" t="s">
        <v>25</v>
      </c>
      <c r="AB24" s="50" t="s">
        <v>25</v>
      </c>
      <c r="AC24" s="50" t="s">
        <v>25</v>
      </c>
      <c r="AD24" s="50" t="s">
        <v>25</v>
      </c>
      <c r="AE24" s="51" t="s">
        <v>56</v>
      </c>
      <c r="AF24" s="52">
        <f>2^5</f>
        <v>32</v>
      </c>
      <c r="AG24" s="50">
        <f t="shared" si="0"/>
        <v>30</v>
      </c>
      <c r="AH24" s="3" t="s">
        <v>127</v>
      </c>
      <c r="AI24" s="50" t="s">
        <v>128</v>
      </c>
      <c r="AJ24" s="3" t="s">
        <v>129</v>
      </c>
      <c r="AK24" s="11" t="s">
        <v>130</v>
      </c>
    </row>
    <row r="25" spans="1:37" s="59" customFormat="1" ht="20.25" customHeight="1">
      <c r="A25" s="53" t="s">
        <v>51</v>
      </c>
      <c r="B25" s="54">
        <f>2^20</f>
        <v>1048576</v>
      </c>
      <c r="C25" s="55" t="s">
        <v>14</v>
      </c>
      <c r="D25" s="36" t="s">
        <v>9</v>
      </c>
      <c r="E25" s="56" t="s">
        <v>32</v>
      </c>
      <c r="F25" s="56" t="s">
        <v>32</v>
      </c>
      <c r="G25" s="56" t="s">
        <v>32</v>
      </c>
      <c r="H25" s="56" t="s">
        <v>32</v>
      </c>
      <c r="I25" s="56" t="s">
        <v>32</v>
      </c>
      <c r="J25" s="56" t="s">
        <v>32</v>
      </c>
      <c r="K25" s="56" t="s">
        <v>32</v>
      </c>
      <c r="L25" s="56" t="s">
        <v>32</v>
      </c>
      <c r="M25" s="36" t="s">
        <v>9</v>
      </c>
      <c r="N25" s="56" t="s">
        <v>32</v>
      </c>
      <c r="O25" s="56" t="s">
        <v>32</v>
      </c>
      <c r="P25" s="56" t="s">
        <v>32</v>
      </c>
      <c r="Q25" s="56" t="s">
        <v>32</v>
      </c>
      <c r="R25" s="56" t="s">
        <v>32</v>
      </c>
      <c r="S25" s="56" t="s">
        <v>32</v>
      </c>
      <c r="T25" s="56" t="s">
        <v>32</v>
      </c>
      <c r="U25" s="56" t="s">
        <v>32</v>
      </c>
      <c r="V25" s="36" t="s">
        <v>9</v>
      </c>
      <c r="W25" s="56" t="s">
        <v>32</v>
      </c>
      <c r="X25" s="56" t="s">
        <v>32</v>
      </c>
      <c r="Y25" s="56" t="s">
        <v>32</v>
      </c>
      <c r="Z25" s="20" t="s">
        <v>32</v>
      </c>
      <c r="AA25" s="56" t="s">
        <v>25</v>
      </c>
      <c r="AB25" s="56" t="s">
        <v>25</v>
      </c>
      <c r="AC25" s="56" t="s">
        <v>25</v>
      </c>
      <c r="AD25" s="56" t="s">
        <v>25</v>
      </c>
      <c r="AE25" s="57" t="s">
        <v>50</v>
      </c>
      <c r="AF25" s="58">
        <f>2^4</f>
        <v>16</v>
      </c>
      <c r="AG25" s="56">
        <f t="shared" si="0"/>
        <v>14</v>
      </c>
      <c r="AH25" s="8" t="s">
        <v>131</v>
      </c>
      <c r="AI25" s="56" t="s">
        <v>132</v>
      </c>
      <c r="AJ25" s="8" t="s">
        <v>133</v>
      </c>
      <c r="AK25" s="12" t="s">
        <v>134</v>
      </c>
    </row>
    <row r="26" spans="1:37" s="46" customFormat="1" ht="20.25" customHeight="1">
      <c r="A26" s="47" t="s">
        <v>45</v>
      </c>
      <c r="B26" s="48">
        <f>2^21</f>
        <v>2097152</v>
      </c>
      <c r="C26" s="19" t="s">
        <v>14</v>
      </c>
      <c r="D26" s="36" t="s">
        <v>9</v>
      </c>
      <c r="E26" s="50" t="s">
        <v>32</v>
      </c>
      <c r="F26" s="50" t="s">
        <v>32</v>
      </c>
      <c r="G26" s="50" t="s">
        <v>32</v>
      </c>
      <c r="H26" s="50" t="s">
        <v>32</v>
      </c>
      <c r="I26" s="50" t="s">
        <v>32</v>
      </c>
      <c r="J26" s="50" t="s">
        <v>32</v>
      </c>
      <c r="K26" s="50" t="s">
        <v>32</v>
      </c>
      <c r="L26" s="50" t="s">
        <v>32</v>
      </c>
      <c r="M26" s="36" t="s">
        <v>9</v>
      </c>
      <c r="N26" s="50" t="s">
        <v>32</v>
      </c>
      <c r="O26" s="50" t="s">
        <v>32</v>
      </c>
      <c r="P26" s="50" t="s">
        <v>32</v>
      </c>
      <c r="Q26" s="50" t="s">
        <v>32</v>
      </c>
      <c r="R26" s="50" t="s">
        <v>32</v>
      </c>
      <c r="S26" s="50" t="s">
        <v>32</v>
      </c>
      <c r="T26" s="50" t="s">
        <v>32</v>
      </c>
      <c r="U26" s="50" t="s">
        <v>32</v>
      </c>
      <c r="V26" s="36" t="s">
        <v>9</v>
      </c>
      <c r="W26" s="50" t="s">
        <v>32</v>
      </c>
      <c r="X26" s="50" t="s">
        <v>32</v>
      </c>
      <c r="Y26" s="50" t="s">
        <v>32</v>
      </c>
      <c r="Z26" s="50" t="s">
        <v>32</v>
      </c>
      <c r="AA26" s="35" t="s">
        <v>32</v>
      </c>
      <c r="AB26" s="50" t="s">
        <v>25</v>
      </c>
      <c r="AC26" s="50" t="s">
        <v>25</v>
      </c>
      <c r="AD26" s="50" t="s">
        <v>25</v>
      </c>
      <c r="AE26" s="51" t="s">
        <v>44</v>
      </c>
      <c r="AF26" s="52">
        <f>2^3</f>
        <v>8</v>
      </c>
      <c r="AG26" s="50">
        <f t="shared" si="0"/>
        <v>6</v>
      </c>
      <c r="AH26" s="3" t="s">
        <v>135</v>
      </c>
      <c r="AI26" s="50" t="s">
        <v>136</v>
      </c>
      <c r="AJ26" s="3" t="s">
        <v>137</v>
      </c>
      <c r="AK26" s="11" t="s">
        <v>138</v>
      </c>
    </row>
    <row r="27" spans="1:37" s="59" customFormat="1" ht="20.25" customHeight="1">
      <c r="A27" s="53" t="s">
        <v>39</v>
      </c>
      <c r="B27" s="54">
        <f>2^22</f>
        <v>4194304</v>
      </c>
      <c r="C27" s="55" t="s">
        <v>14</v>
      </c>
      <c r="D27" s="36" t="s">
        <v>9</v>
      </c>
      <c r="E27" s="56" t="s">
        <v>32</v>
      </c>
      <c r="F27" s="56" t="s">
        <v>32</v>
      </c>
      <c r="G27" s="56" t="s">
        <v>32</v>
      </c>
      <c r="H27" s="56" t="s">
        <v>32</v>
      </c>
      <c r="I27" s="56" t="s">
        <v>32</v>
      </c>
      <c r="J27" s="56" t="s">
        <v>32</v>
      </c>
      <c r="K27" s="56" t="s">
        <v>32</v>
      </c>
      <c r="L27" s="56" t="s">
        <v>32</v>
      </c>
      <c r="M27" s="36" t="s">
        <v>9</v>
      </c>
      <c r="N27" s="56" t="s">
        <v>32</v>
      </c>
      <c r="O27" s="56" t="s">
        <v>32</v>
      </c>
      <c r="P27" s="56" t="s">
        <v>32</v>
      </c>
      <c r="Q27" s="56" t="s">
        <v>32</v>
      </c>
      <c r="R27" s="56" t="s">
        <v>32</v>
      </c>
      <c r="S27" s="56" t="s">
        <v>32</v>
      </c>
      <c r="T27" s="56" t="s">
        <v>32</v>
      </c>
      <c r="U27" s="56" t="s">
        <v>32</v>
      </c>
      <c r="V27" s="36" t="s">
        <v>9</v>
      </c>
      <c r="W27" s="56" t="s">
        <v>32</v>
      </c>
      <c r="X27" s="56" t="s">
        <v>32</v>
      </c>
      <c r="Y27" s="56" t="s">
        <v>32</v>
      </c>
      <c r="Z27" s="56" t="s">
        <v>32</v>
      </c>
      <c r="AA27" s="56" t="s">
        <v>32</v>
      </c>
      <c r="AB27" s="20" t="s">
        <v>32</v>
      </c>
      <c r="AC27" s="56" t="s">
        <v>25</v>
      </c>
      <c r="AD27" s="56" t="s">
        <v>25</v>
      </c>
      <c r="AE27" s="57" t="s">
        <v>38</v>
      </c>
      <c r="AF27" s="58">
        <f>2^2</f>
        <v>4</v>
      </c>
      <c r="AG27" s="56">
        <f t="shared" si="0"/>
        <v>2</v>
      </c>
      <c r="AH27" s="8" t="s">
        <v>139</v>
      </c>
      <c r="AI27" s="56" t="s">
        <v>140</v>
      </c>
      <c r="AJ27" s="8" t="s">
        <v>141</v>
      </c>
      <c r="AK27" s="12" t="s">
        <v>142</v>
      </c>
    </row>
    <row r="28" spans="1:37" s="46" customFormat="1" ht="20.25" customHeight="1">
      <c r="A28" s="80" t="s">
        <v>33</v>
      </c>
      <c r="B28" s="81">
        <f>2^23</f>
        <v>8388608</v>
      </c>
      <c r="C28" s="82" t="s">
        <v>14</v>
      </c>
      <c r="D28" s="36" t="s">
        <v>9</v>
      </c>
      <c r="E28" s="61" t="s">
        <v>32</v>
      </c>
      <c r="F28" s="61" t="s">
        <v>32</v>
      </c>
      <c r="G28" s="61" t="s">
        <v>32</v>
      </c>
      <c r="H28" s="61" t="s">
        <v>32</v>
      </c>
      <c r="I28" s="61" t="s">
        <v>32</v>
      </c>
      <c r="J28" s="61" t="s">
        <v>32</v>
      </c>
      <c r="K28" s="61" t="s">
        <v>32</v>
      </c>
      <c r="L28" s="61" t="s">
        <v>32</v>
      </c>
      <c r="M28" s="36" t="s">
        <v>9</v>
      </c>
      <c r="N28" s="61" t="s">
        <v>32</v>
      </c>
      <c r="O28" s="61" t="s">
        <v>32</v>
      </c>
      <c r="P28" s="61" t="s">
        <v>32</v>
      </c>
      <c r="Q28" s="61" t="s">
        <v>32</v>
      </c>
      <c r="R28" s="61" t="s">
        <v>32</v>
      </c>
      <c r="S28" s="61" t="s">
        <v>32</v>
      </c>
      <c r="T28" s="61" t="s">
        <v>32</v>
      </c>
      <c r="U28" s="61" t="s">
        <v>32</v>
      </c>
      <c r="V28" s="36" t="s">
        <v>9</v>
      </c>
      <c r="W28" s="61" t="s">
        <v>32</v>
      </c>
      <c r="X28" s="61" t="s">
        <v>32</v>
      </c>
      <c r="Y28" s="61" t="s">
        <v>32</v>
      </c>
      <c r="Z28" s="61" t="s">
        <v>32</v>
      </c>
      <c r="AA28" s="61" t="s">
        <v>32</v>
      </c>
      <c r="AB28" s="61" t="s">
        <v>32</v>
      </c>
      <c r="AC28" s="61" t="s">
        <v>32</v>
      </c>
      <c r="AD28" s="61" t="s">
        <v>25</v>
      </c>
      <c r="AE28" s="62" t="s">
        <v>31</v>
      </c>
      <c r="AF28" s="63">
        <v>2</v>
      </c>
      <c r="AG28" s="61">
        <f t="shared" si="0"/>
        <v>0</v>
      </c>
      <c r="AH28" s="26" t="s">
        <v>143</v>
      </c>
      <c r="AI28" s="61" t="s">
        <v>144</v>
      </c>
      <c r="AJ28" s="26" t="s">
        <v>145</v>
      </c>
      <c r="AK28" s="27" t="s">
        <v>146</v>
      </c>
    </row>
    <row r="29" spans="1:37" s="46" customFormat="1" ht="20.25" customHeight="1" thickBot="1">
      <c r="A29" s="83" t="s">
        <v>26</v>
      </c>
      <c r="B29" s="84">
        <f>2^24</f>
        <v>16777216</v>
      </c>
      <c r="C29" s="85" t="s">
        <v>14</v>
      </c>
      <c r="D29" s="65" t="s">
        <v>9</v>
      </c>
      <c r="E29" s="67" t="s">
        <v>32</v>
      </c>
      <c r="F29" s="67" t="s">
        <v>32</v>
      </c>
      <c r="G29" s="67" t="s">
        <v>32</v>
      </c>
      <c r="H29" s="67" t="s">
        <v>32</v>
      </c>
      <c r="I29" s="67" t="s">
        <v>32</v>
      </c>
      <c r="J29" s="67" t="s">
        <v>32</v>
      </c>
      <c r="K29" s="67" t="s">
        <v>32</v>
      </c>
      <c r="L29" s="67" t="s">
        <v>32</v>
      </c>
      <c r="M29" s="65" t="s">
        <v>9</v>
      </c>
      <c r="N29" s="67" t="s">
        <v>32</v>
      </c>
      <c r="O29" s="67" t="s">
        <v>32</v>
      </c>
      <c r="P29" s="67" t="s">
        <v>32</v>
      </c>
      <c r="Q29" s="67" t="s">
        <v>32</v>
      </c>
      <c r="R29" s="67" t="s">
        <v>32</v>
      </c>
      <c r="S29" s="67" t="s">
        <v>32</v>
      </c>
      <c r="T29" s="67" t="s">
        <v>32</v>
      </c>
      <c r="U29" s="67" t="s">
        <v>32</v>
      </c>
      <c r="V29" s="65" t="s">
        <v>9</v>
      </c>
      <c r="W29" s="67" t="s">
        <v>32</v>
      </c>
      <c r="X29" s="67" t="s">
        <v>32</v>
      </c>
      <c r="Y29" s="67" t="s">
        <v>32</v>
      </c>
      <c r="Z29" s="67" t="s">
        <v>32</v>
      </c>
      <c r="AA29" s="67" t="s">
        <v>32</v>
      </c>
      <c r="AB29" s="67" t="s">
        <v>32</v>
      </c>
      <c r="AC29" s="67" t="s">
        <v>32</v>
      </c>
      <c r="AD29" s="67" t="s">
        <v>32</v>
      </c>
      <c r="AE29" s="68" t="s">
        <v>24</v>
      </c>
      <c r="AF29" s="69">
        <v>1</v>
      </c>
      <c r="AG29" s="67">
        <f t="shared" si="0"/>
        <v>-1</v>
      </c>
      <c r="AH29" s="28" t="s">
        <v>147</v>
      </c>
      <c r="AI29" s="67" t="s">
        <v>148</v>
      </c>
      <c r="AJ29" s="28" t="s">
        <v>149</v>
      </c>
      <c r="AK29" s="29" t="s">
        <v>150</v>
      </c>
    </row>
  </sheetData>
  <mergeCells count="22">
    <mergeCell ref="A1:B2"/>
    <mergeCell ref="C1:AD1"/>
    <mergeCell ref="AE1:AF2"/>
    <mergeCell ref="AG1:AG2"/>
    <mergeCell ref="AH1:AH2"/>
    <mergeCell ref="AJ1:AJ2"/>
    <mergeCell ref="AK1:AK2"/>
    <mergeCell ref="E2:L2"/>
    <mergeCell ref="N2:U2"/>
    <mergeCell ref="W2:AD2"/>
    <mergeCell ref="AI1:AI2"/>
    <mergeCell ref="AH3:AH4"/>
    <mergeCell ref="AI3:AI4"/>
    <mergeCell ref="AJ3:AJ4"/>
    <mergeCell ref="AK3:AK4"/>
    <mergeCell ref="A4:B4"/>
    <mergeCell ref="AE4:AF4"/>
    <mergeCell ref="A3:B3"/>
    <mergeCell ref="E3:L3"/>
    <mergeCell ref="N3:U3"/>
    <mergeCell ref="W3:AD3"/>
    <mergeCell ref="AE3:AG3"/>
  </mergeCells>
  <pageMargins left="0.45" right="0.45" top="0.75" bottom="0.75" header="0.3" footer="0.3"/>
  <pageSetup scale="76" orientation="landscape" r:id="rId1"/>
  <headerFooter>
    <oddHeader>&amp;CSubnetting Matrix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7CE02-B212-4C3C-9C35-CF434A6F19A6}">
  <sheetPr>
    <pageSetUpPr fitToPage="1"/>
  </sheetPr>
  <dimension ref="A1:AD21"/>
  <sheetViews>
    <sheetView zoomScale="90" zoomScaleNormal="90" workbookViewId="0">
      <selection activeCell="A22" sqref="A22"/>
    </sheetView>
  </sheetViews>
  <sheetFormatPr defaultRowHeight="15"/>
  <cols>
    <col min="1" max="1" width="5.5703125" style="16" bestFit="1" customWidth="1"/>
    <col min="2" max="2" width="10.140625" style="17" bestFit="1" customWidth="1"/>
    <col min="3" max="3" width="4.7109375" style="17" customWidth="1"/>
    <col min="4" max="4" width="1" style="17" customWidth="1"/>
    <col min="5" max="5" width="4.85546875" style="17" customWidth="1"/>
    <col min="6" max="6" width="1" style="17" customWidth="1"/>
    <col min="7" max="14" width="2.7109375" style="17" customWidth="1"/>
    <col min="15" max="15" width="1" style="17" customWidth="1"/>
    <col min="16" max="17" width="2.7109375" style="17" customWidth="1"/>
    <col min="18" max="23" width="2.7109375" customWidth="1"/>
    <col min="24" max="24" width="5.5703125" bestFit="1" customWidth="1"/>
    <col min="25" max="25" width="10.140625" bestFit="1" customWidth="1"/>
    <col min="26" max="26" width="11.140625" customWidth="1"/>
    <col min="27" max="27" width="11.7109375" style="17" customWidth="1"/>
    <col min="28" max="28" width="9" style="17" customWidth="1"/>
    <col min="29" max="29" width="16.5703125" style="18" customWidth="1"/>
    <col min="30" max="30" width="16.42578125" style="18" customWidth="1"/>
  </cols>
  <sheetData>
    <row r="1" spans="1:30" s="14" customFormat="1" ht="39" customHeight="1">
      <c r="A1" s="108" t="s">
        <v>0</v>
      </c>
      <c r="B1" s="109"/>
      <c r="C1" s="112" t="s">
        <v>151</v>
      </c>
      <c r="D1" s="118"/>
      <c r="E1" s="113"/>
      <c r="F1" s="118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4" t="s">
        <v>2</v>
      </c>
      <c r="Y1" s="115"/>
      <c r="Z1" s="103" t="s">
        <v>3</v>
      </c>
      <c r="AA1" s="103" t="s">
        <v>152</v>
      </c>
      <c r="AB1" s="103" t="s">
        <v>5</v>
      </c>
      <c r="AC1" s="103" t="s">
        <v>6</v>
      </c>
      <c r="AD1" s="105" t="s">
        <v>7</v>
      </c>
    </row>
    <row r="2" spans="1:30" s="15" customFormat="1" ht="34.5" customHeight="1">
      <c r="A2" s="110"/>
      <c r="B2" s="111"/>
      <c r="C2" s="4" t="s">
        <v>8</v>
      </c>
      <c r="D2" s="33" t="s">
        <v>9</v>
      </c>
      <c r="E2" s="5" t="s">
        <v>153</v>
      </c>
      <c r="F2" s="33" t="s">
        <v>9</v>
      </c>
      <c r="G2" s="107" t="s">
        <v>11</v>
      </c>
      <c r="H2" s="107"/>
      <c r="I2" s="107"/>
      <c r="J2" s="107"/>
      <c r="K2" s="107"/>
      <c r="L2" s="107"/>
      <c r="M2" s="107"/>
      <c r="N2" s="107"/>
      <c r="O2" s="32" t="s">
        <v>9</v>
      </c>
      <c r="P2" s="107" t="s">
        <v>12</v>
      </c>
      <c r="Q2" s="107"/>
      <c r="R2" s="107"/>
      <c r="S2" s="107"/>
      <c r="T2" s="107"/>
      <c r="U2" s="107"/>
      <c r="V2" s="107"/>
      <c r="W2" s="107"/>
      <c r="X2" s="116"/>
      <c r="Y2" s="117"/>
      <c r="Z2" s="104"/>
      <c r="AA2" s="104"/>
      <c r="AB2" s="104"/>
      <c r="AC2" s="104"/>
      <c r="AD2" s="106"/>
    </row>
    <row r="3" spans="1:30" ht="45" customHeight="1">
      <c r="A3" s="97" t="s">
        <v>13</v>
      </c>
      <c r="B3" s="98"/>
      <c r="C3" s="19" t="s">
        <v>14</v>
      </c>
      <c r="D3" s="36" t="s">
        <v>9</v>
      </c>
      <c r="E3" s="35" t="s">
        <v>14</v>
      </c>
      <c r="F3" s="36" t="s">
        <v>9</v>
      </c>
      <c r="G3" s="99" t="s">
        <v>15</v>
      </c>
      <c r="H3" s="99"/>
      <c r="I3" s="99"/>
      <c r="J3" s="99"/>
      <c r="K3" s="99"/>
      <c r="L3" s="99"/>
      <c r="M3" s="99"/>
      <c r="N3" s="99"/>
      <c r="O3" s="32" t="s">
        <v>9</v>
      </c>
      <c r="P3" s="99" t="s">
        <v>15</v>
      </c>
      <c r="Q3" s="99"/>
      <c r="R3" s="99"/>
      <c r="S3" s="99"/>
      <c r="T3" s="99"/>
      <c r="U3" s="99"/>
      <c r="V3" s="99"/>
      <c r="W3" s="99"/>
      <c r="X3" s="100" t="s">
        <v>16</v>
      </c>
      <c r="Y3" s="101"/>
      <c r="Z3" s="102"/>
      <c r="AA3" s="87" t="s">
        <v>154</v>
      </c>
      <c r="AB3" s="89" t="s">
        <v>18</v>
      </c>
      <c r="AC3" s="87" t="s">
        <v>19</v>
      </c>
      <c r="AD3" s="91" t="s">
        <v>20</v>
      </c>
    </row>
    <row r="4" spans="1:30" ht="39" customHeight="1">
      <c r="A4" s="93" t="s">
        <v>21</v>
      </c>
      <c r="B4" s="94"/>
      <c r="C4" s="2" t="s">
        <v>14</v>
      </c>
      <c r="D4" s="31" t="s">
        <v>9</v>
      </c>
      <c r="E4" s="34" t="s">
        <v>14</v>
      </c>
      <c r="F4" s="31" t="s">
        <v>9</v>
      </c>
      <c r="G4" s="37">
        <v>128</v>
      </c>
      <c r="H4" s="22">
        <v>64</v>
      </c>
      <c r="I4" s="22">
        <v>32</v>
      </c>
      <c r="J4" s="22">
        <v>16</v>
      </c>
      <c r="K4" s="23">
        <v>8</v>
      </c>
      <c r="L4" s="23">
        <v>4</v>
      </c>
      <c r="M4" s="23">
        <v>2</v>
      </c>
      <c r="N4" s="1">
        <v>1</v>
      </c>
      <c r="O4" s="30" t="s">
        <v>9</v>
      </c>
      <c r="P4" s="37">
        <v>128</v>
      </c>
      <c r="Q4" s="22">
        <v>64</v>
      </c>
      <c r="R4" s="22">
        <v>32</v>
      </c>
      <c r="S4" s="22">
        <v>16</v>
      </c>
      <c r="T4" s="23">
        <v>8</v>
      </c>
      <c r="U4" s="23">
        <v>4</v>
      </c>
      <c r="V4" s="23">
        <v>2</v>
      </c>
      <c r="W4" s="23">
        <v>1</v>
      </c>
      <c r="X4" s="95" t="s">
        <v>22</v>
      </c>
      <c r="Y4" s="96"/>
      <c r="Z4" s="6" t="s">
        <v>23</v>
      </c>
      <c r="AA4" s="88"/>
      <c r="AB4" s="90"/>
      <c r="AC4" s="119"/>
      <c r="AD4" s="92"/>
    </row>
    <row r="5" spans="1:30" s="46" customFormat="1" ht="19.5" customHeight="1">
      <c r="A5" s="38" t="s">
        <v>24</v>
      </c>
      <c r="B5" s="39">
        <f>2^0</f>
        <v>1</v>
      </c>
      <c r="C5" s="4" t="s">
        <v>14</v>
      </c>
      <c r="D5" s="36" t="s">
        <v>9</v>
      </c>
      <c r="E5" s="5" t="s">
        <v>14</v>
      </c>
      <c r="F5" s="40" t="s">
        <v>9</v>
      </c>
      <c r="G5" s="24" t="s">
        <v>25</v>
      </c>
      <c r="H5" s="24" t="s">
        <v>25</v>
      </c>
      <c r="I5" s="24" t="s">
        <v>25</v>
      </c>
      <c r="J5" s="24" t="s">
        <v>25</v>
      </c>
      <c r="K5" s="24" t="s">
        <v>25</v>
      </c>
      <c r="L5" s="24" t="s">
        <v>25</v>
      </c>
      <c r="M5" s="24" t="s">
        <v>25</v>
      </c>
      <c r="N5" s="24" t="s">
        <v>25</v>
      </c>
      <c r="O5" s="32" t="s">
        <v>9</v>
      </c>
      <c r="P5" s="24" t="s">
        <v>25</v>
      </c>
      <c r="Q5" s="24" t="s">
        <v>25</v>
      </c>
      <c r="R5" s="24" t="s">
        <v>25</v>
      </c>
      <c r="S5" s="24" t="s">
        <v>25</v>
      </c>
      <c r="T5" s="24" t="s">
        <v>25</v>
      </c>
      <c r="U5" s="24" t="s">
        <v>25</v>
      </c>
      <c r="V5" s="24" t="s">
        <v>25</v>
      </c>
      <c r="W5" s="41" t="s">
        <v>25</v>
      </c>
      <c r="X5" s="42" t="s">
        <v>75</v>
      </c>
      <c r="Y5" s="43">
        <f>2^16</f>
        <v>65536</v>
      </c>
      <c r="Z5" s="25">
        <f>Y5-2</f>
        <v>65534</v>
      </c>
      <c r="AA5" s="44" t="s">
        <v>155</v>
      </c>
      <c r="AB5" s="45" t="s">
        <v>77</v>
      </c>
      <c r="AC5" s="7" t="s">
        <v>78</v>
      </c>
      <c r="AD5" s="10" t="s">
        <v>79</v>
      </c>
    </row>
    <row r="6" spans="1:30" s="46" customFormat="1" ht="19.5" customHeight="1">
      <c r="A6" s="47" t="s">
        <v>31</v>
      </c>
      <c r="B6" s="48">
        <f>2^1</f>
        <v>2</v>
      </c>
      <c r="C6" s="19" t="s">
        <v>14</v>
      </c>
      <c r="D6" s="36" t="s">
        <v>9</v>
      </c>
      <c r="E6" s="35" t="s">
        <v>14</v>
      </c>
      <c r="F6" s="36" t="s">
        <v>9</v>
      </c>
      <c r="G6" s="35" t="s">
        <v>32</v>
      </c>
      <c r="H6" s="50" t="s">
        <v>25</v>
      </c>
      <c r="I6" s="50" t="s">
        <v>25</v>
      </c>
      <c r="J6" s="50" t="s">
        <v>25</v>
      </c>
      <c r="K6" s="50" t="s">
        <v>25</v>
      </c>
      <c r="L6" s="50" t="s">
        <v>25</v>
      </c>
      <c r="M6" s="50" t="s">
        <v>25</v>
      </c>
      <c r="N6" s="50" t="s">
        <v>25</v>
      </c>
      <c r="O6" s="49" t="s">
        <v>9</v>
      </c>
      <c r="P6" s="50" t="s">
        <v>25</v>
      </c>
      <c r="Q6" s="50" t="s">
        <v>25</v>
      </c>
      <c r="R6" s="50" t="s">
        <v>25</v>
      </c>
      <c r="S6" s="50" t="s">
        <v>25</v>
      </c>
      <c r="T6" s="50" t="s">
        <v>25</v>
      </c>
      <c r="U6" s="50" t="s">
        <v>25</v>
      </c>
      <c r="V6" s="50" t="s">
        <v>25</v>
      </c>
      <c r="W6" s="50" t="s">
        <v>25</v>
      </c>
      <c r="X6" s="51" t="s">
        <v>81</v>
      </c>
      <c r="Y6" s="52">
        <f>2^15</f>
        <v>32768</v>
      </c>
      <c r="Z6" s="50">
        <f t="shared" ref="Z6:Z21" si="0">Y6-2</f>
        <v>32766</v>
      </c>
      <c r="AA6" s="3" t="s">
        <v>82</v>
      </c>
      <c r="AB6" s="50" t="s">
        <v>83</v>
      </c>
      <c r="AC6" s="3" t="s">
        <v>84</v>
      </c>
      <c r="AD6" s="11" t="s">
        <v>85</v>
      </c>
    </row>
    <row r="7" spans="1:30" s="59" customFormat="1" ht="19.5" customHeight="1">
      <c r="A7" s="53" t="s">
        <v>38</v>
      </c>
      <c r="B7" s="54">
        <f>2^2</f>
        <v>4</v>
      </c>
      <c r="C7" s="55" t="s">
        <v>14</v>
      </c>
      <c r="D7" s="36" t="s">
        <v>9</v>
      </c>
      <c r="E7" s="20" t="s">
        <v>14</v>
      </c>
      <c r="F7" s="36" t="s">
        <v>9</v>
      </c>
      <c r="G7" s="56" t="s">
        <v>32</v>
      </c>
      <c r="H7" s="20" t="s">
        <v>32</v>
      </c>
      <c r="I7" s="56" t="s">
        <v>25</v>
      </c>
      <c r="J7" s="56" t="s">
        <v>25</v>
      </c>
      <c r="K7" s="56" t="s">
        <v>25</v>
      </c>
      <c r="L7" s="56" t="s">
        <v>25</v>
      </c>
      <c r="M7" s="56" t="s">
        <v>25</v>
      </c>
      <c r="N7" s="56" t="s">
        <v>25</v>
      </c>
      <c r="O7" s="49" t="s">
        <v>9</v>
      </c>
      <c r="P7" s="56" t="s">
        <v>25</v>
      </c>
      <c r="Q7" s="56" t="s">
        <v>25</v>
      </c>
      <c r="R7" s="56" t="s">
        <v>25</v>
      </c>
      <c r="S7" s="56" t="s">
        <v>25</v>
      </c>
      <c r="T7" s="56" t="s">
        <v>25</v>
      </c>
      <c r="U7" s="56" t="s">
        <v>25</v>
      </c>
      <c r="V7" s="56" t="s">
        <v>25</v>
      </c>
      <c r="W7" s="56" t="s">
        <v>25</v>
      </c>
      <c r="X7" s="57" t="s">
        <v>87</v>
      </c>
      <c r="Y7" s="58">
        <f>2^14</f>
        <v>16384</v>
      </c>
      <c r="Z7" s="56">
        <f t="shared" si="0"/>
        <v>16382</v>
      </c>
      <c r="AA7" s="8" t="s">
        <v>88</v>
      </c>
      <c r="AB7" s="56" t="s">
        <v>89</v>
      </c>
      <c r="AC7" s="8" t="s">
        <v>90</v>
      </c>
      <c r="AD7" s="12" t="s">
        <v>91</v>
      </c>
    </row>
    <row r="8" spans="1:30" s="46" customFormat="1" ht="19.5" customHeight="1">
      <c r="A8" s="47" t="s">
        <v>44</v>
      </c>
      <c r="B8" s="48">
        <f>2^3</f>
        <v>8</v>
      </c>
      <c r="C8" s="19" t="s">
        <v>14</v>
      </c>
      <c r="D8" s="36" t="s">
        <v>9</v>
      </c>
      <c r="E8" s="35" t="s">
        <v>14</v>
      </c>
      <c r="F8" s="36" t="s">
        <v>9</v>
      </c>
      <c r="G8" s="50" t="s">
        <v>32</v>
      </c>
      <c r="H8" s="50" t="s">
        <v>32</v>
      </c>
      <c r="I8" s="35" t="s">
        <v>32</v>
      </c>
      <c r="J8" s="50" t="s">
        <v>25</v>
      </c>
      <c r="K8" s="50" t="s">
        <v>25</v>
      </c>
      <c r="L8" s="50" t="s">
        <v>25</v>
      </c>
      <c r="M8" s="50" t="s">
        <v>25</v>
      </c>
      <c r="N8" s="50" t="s">
        <v>25</v>
      </c>
      <c r="O8" s="49" t="s">
        <v>9</v>
      </c>
      <c r="P8" s="50" t="s">
        <v>25</v>
      </c>
      <c r="Q8" s="50" t="s">
        <v>25</v>
      </c>
      <c r="R8" s="50" t="s">
        <v>25</v>
      </c>
      <c r="S8" s="50" t="s">
        <v>25</v>
      </c>
      <c r="T8" s="50" t="s">
        <v>25</v>
      </c>
      <c r="U8" s="50" t="s">
        <v>25</v>
      </c>
      <c r="V8" s="50" t="s">
        <v>25</v>
      </c>
      <c r="W8" s="50" t="s">
        <v>25</v>
      </c>
      <c r="X8" s="51" t="s">
        <v>93</v>
      </c>
      <c r="Y8" s="52">
        <f>2^13</f>
        <v>8192</v>
      </c>
      <c r="Z8" s="50">
        <f t="shared" si="0"/>
        <v>8190</v>
      </c>
      <c r="AA8" s="3" t="s">
        <v>94</v>
      </c>
      <c r="AB8" s="50" t="s">
        <v>95</v>
      </c>
      <c r="AC8" s="3" t="s">
        <v>96</v>
      </c>
      <c r="AD8" s="11" t="s">
        <v>97</v>
      </c>
    </row>
    <row r="9" spans="1:30" s="59" customFormat="1" ht="19.5" customHeight="1">
      <c r="A9" s="53" t="s">
        <v>50</v>
      </c>
      <c r="B9" s="54">
        <f>2^4</f>
        <v>16</v>
      </c>
      <c r="C9" s="55" t="s">
        <v>14</v>
      </c>
      <c r="D9" s="36" t="s">
        <v>9</v>
      </c>
      <c r="E9" s="20" t="s">
        <v>14</v>
      </c>
      <c r="F9" s="36" t="s">
        <v>9</v>
      </c>
      <c r="G9" s="56" t="s">
        <v>32</v>
      </c>
      <c r="H9" s="56" t="s">
        <v>32</v>
      </c>
      <c r="I9" s="56" t="s">
        <v>32</v>
      </c>
      <c r="J9" s="20" t="s">
        <v>32</v>
      </c>
      <c r="K9" s="56" t="s">
        <v>25</v>
      </c>
      <c r="L9" s="56" t="s">
        <v>25</v>
      </c>
      <c r="M9" s="56" t="s">
        <v>25</v>
      </c>
      <c r="N9" s="56" t="s">
        <v>25</v>
      </c>
      <c r="O9" s="49" t="s">
        <v>9</v>
      </c>
      <c r="P9" s="56" t="s">
        <v>25</v>
      </c>
      <c r="Q9" s="56" t="s">
        <v>25</v>
      </c>
      <c r="R9" s="56" t="s">
        <v>25</v>
      </c>
      <c r="S9" s="56" t="s">
        <v>25</v>
      </c>
      <c r="T9" s="56" t="s">
        <v>25</v>
      </c>
      <c r="U9" s="56" t="s">
        <v>25</v>
      </c>
      <c r="V9" s="56" t="s">
        <v>25</v>
      </c>
      <c r="W9" s="56" t="s">
        <v>25</v>
      </c>
      <c r="X9" s="57" t="s">
        <v>98</v>
      </c>
      <c r="Y9" s="58">
        <f>2^12</f>
        <v>4096</v>
      </c>
      <c r="Z9" s="56">
        <f t="shared" si="0"/>
        <v>4094</v>
      </c>
      <c r="AA9" s="8" t="s">
        <v>99</v>
      </c>
      <c r="AB9" s="56" t="s">
        <v>100</v>
      </c>
      <c r="AC9" s="8" t="s">
        <v>101</v>
      </c>
      <c r="AD9" s="12" t="s">
        <v>102</v>
      </c>
    </row>
    <row r="10" spans="1:30" s="46" customFormat="1" ht="19.5" customHeight="1">
      <c r="A10" s="47" t="s">
        <v>56</v>
      </c>
      <c r="B10" s="48">
        <f>2^5</f>
        <v>32</v>
      </c>
      <c r="C10" s="19" t="s">
        <v>14</v>
      </c>
      <c r="D10" s="36" t="s">
        <v>9</v>
      </c>
      <c r="E10" s="35" t="s">
        <v>14</v>
      </c>
      <c r="F10" s="36" t="s">
        <v>9</v>
      </c>
      <c r="G10" s="50" t="s">
        <v>32</v>
      </c>
      <c r="H10" s="50" t="s">
        <v>32</v>
      </c>
      <c r="I10" s="50" t="s">
        <v>32</v>
      </c>
      <c r="J10" s="50" t="s">
        <v>32</v>
      </c>
      <c r="K10" s="35" t="s">
        <v>32</v>
      </c>
      <c r="L10" s="50" t="s">
        <v>25</v>
      </c>
      <c r="M10" s="50" t="s">
        <v>25</v>
      </c>
      <c r="N10" s="50" t="s">
        <v>25</v>
      </c>
      <c r="O10" s="49" t="s">
        <v>9</v>
      </c>
      <c r="P10" s="50" t="s">
        <v>25</v>
      </c>
      <c r="Q10" s="50" t="s">
        <v>25</v>
      </c>
      <c r="R10" s="50" t="s">
        <v>25</v>
      </c>
      <c r="S10" s="50" t="s">
        <v>25</v>
      </c>
      <c r="T10" s="50" t="s">
        <v>25</v>
      </c>
      <c r="U10" s="50" t="s">
        <v>25</v>
      </c>
      <c r="V10" s="50" t="s">
        <v>25</v>
      </c>
      <c r="W10" s="50" t="s">
        <v>25</v>
      </c>
      <c r="X10" s="51" t="s">
        <v>92</v>
      </c>
      <c r="Y10" s="52">
        <f>2^11</f>
        <v>2048</v>
      </c>
      <c r="Z10" s="50">
        <f t="shared" si="0"/>
        <v>2046</v>
      </c>
      <c r="AA10" s="3" t="s">
        <v>103</v>
      </c>
      <c r="AB10" s="50" t="s">
        <v>104</v>
      </c>
      <c r="AC10" s="3" t="s">
        <v>105</v>
      </c>
      <c r="AD10" s="11" t="s">
        <v>106</v>
      </c>
    </row>
    <row r="11" spans="1:30" s="59" customFormat="1" ht="19.5" customHeight="1">
      <c r="A11" s="53" t="s">
        <v>62</v>
      </c>
      <c r="B11" s="54">
        <f>2^6</f>
        <v>64</v>
      </c>
      <c r="C11" s="55" t="s">
        <v>14</v>
      </c>
      <c r="D11" s="36" t="s">
        <v>9</v>
      </c>
      <c r="E11" s="20" t="s">
        <v>14</v>
      </c>
      <c r="F11" s="36" t="s">
        <v>9</v>
      </c>
      <c r="G11" s="56" t="s">
        <v>32</v>
      </c>
      <c r="H11" s="56" t="s">
        <v>32</v>
      </c>
      <c r="I11" s="56" t="s">
        <v>32</v>
      </c>
      <c r="J11" s="56" t="s">
        <v>32</v>
      </c>
      <c r="K11" s="56" t="s">
        <v>32</v>
      </c>
      <c r="L11" s="20" t="s">
        <v>32</v>
      </c>
      <c r="M11" s="56" t="s">
        <v>25</v>
      </c>
      <c r="N11" s="56" t="s">
        <v>25</v>
      </c>
      <c r="O11" s="49" t="s">
        <v>9</v>
      </c>
      <c r="P11" s="56" t="s">
        <v>25</v>
      </c>
      <c r="Q11" s="56" t="s">
        <v>25</v>
      </c>
      <c r="R11" s="56" t="s">
        <v>25</v>
      </c>
      <c r="S11" s="56" t="s">
        <v>25</v>
      </c>
      <c r="T11" s="56" t="s">
        <v>25</v>
      </c>
      <c r="U11" s="56" t="s">
        <v>25</v>
      </c>
      <c r="V11" s="56" t="s">
        <v>25</v>
      </c>
      <c r="W11" s="56" t="s">
        <v>25</v>
      </c>
      <c r="X11" s="57" t="s">
        <v>86</v>
      </c>
      <c r="Y11" s="58">
        <f>2^10</f>
        <v>1024</v>
      </c>
      <c r="Z11" s="56">
        <f t="shared" si="0"/>
        <v>1022</v>
      </c>
      <c r="AA11" s="8" t="s">
        <v>107</v>
      </c>
      <c r="AB11" s="56" t="s">
        <v>108</v>
      </c>
      <c r="AC11" s="8" t="s">
        <v>109</v>
      </c>
      <c r="AD11" s="12" t="s">
        <v>110</v>
      </c>
    </row>
    <row r="12" spans="1:30" s="46" customFormat="1" ht="19.5" customHeight="1">
      <c r="A12" s="73" t="s">
        <v>68</v>
      </c>
      <c r="B12" s="3">
        <f>2^7</f>
        <v>128</v>
      </c>
      <c r="C12" s="35" t="s">
        <v>14</v>
      </c>
      <c r="D12" s="36" t="s">
        <v>9</v>
      </c>
      <c r="E12" s="35" t="s">
        <v>14</v>
      </c>
      <c r="F12" s="36" t="s">
        <v>9</v>
      </c>
      <c r="G12" s="50" t="s">
        <v>32</v>
      </c>
      <c r="H12" s="50" t="s">
        <v>32</v>
      </c>
      <c r="I12" s="50" t="s">
        <v>32</v>
      </c>
      <c r="J12" s="50" t="s">
        <v>32</v>
      </c>
      <c r="K12" s="50" t="s">
        <v>32</v>
      </c>
      <c r="L12" s="50" t="s">
        <v>32</v>
      </c>
      <c r="M12" s="35" t="s">
        <v>32</v>
      </c>
      <c r="N12" s="50" t="s">
        <v>25</v>
      </c>
      <c r="O12" s="49" t="s">
        <v>9</v>
      </c>
      <c r="P12" s="50" t="s">
        <v>25</v>
      </c>
      <c r="Q12" s="50" t="s">
        <v>25</v>
      </c>
      <c r="R12" s="50" t="s">
        <v>25</v>
      </c>
      <c r="S12" s="50" t="s">
        <v>25</v>
      </c>
      <c r="T12" s="50" t="s">
        <v>25</v>
      </c>
      <c r="U12" s="50" t="s">
        <v>25</v>
      </c>
      <c r="V12" s="50" t="s">
        <v>25</v>
      </c>
      <c r="W12" s="50" t="s">
        <v>25</v>
      </c>
      <c r="X12" s="51" t="s">
        <v>80</v>
      </c>
      <c r="Y12" s="52">
        <f>2^9</f>
        <v>512</v>
      </c>
      <c r="Z12" s="50">
        <f t="shared" si="0"/>
        <v>510</v>
      </c>
      <c r="AA12" s="3" t="s">
        <v>111</v>
      </c>
      <c r="AB12" s="50" t="s">
        <v>112</v>
      </c>
      <c r="AC12" s="3" t="s">
        <v>113</v>
      </c>
      <c r="AD12" s="11" t="s">
        <v>114</v>
      </c>
    </row>
    <row r="13" spans="1:30" s="59" customFormat="1" ht="19.5" customHeight="1">
      <c r="A13" s="74" t="s">
        <v>74</v>
      </c>
      <c r="B13" s="9">
        <f>2^8</f>
        <v>256</v>
      </c>
      <c r="C13" s="75" t="s">
        <v>14</v>
      </c>
      <c r="D13" s="40" t="s">
        <v>9</v>
      </c>
      <c r="E13" s="75" t="s">
        <v>14</v>
      </c>
      <c r="F13" s="40" t="s">
        <v>9</v>
      </c>
      <c r="G13" s="76" t="s">
        <v>32</v>
      </c>
      <c r="H13" s="76" t="s">
        <v>32</v>
      </c>
      <c r="I13" s="76" t="s">
        <v>32</v>
      </c>
      <c r="J13" s="76" t="s">
        <v>32</v>
      </c>
      <c r="K13" s="76" t="s">
        <v>32</v>
      </c>
      <c r="L13" s="76" t="s">
        <v>32</v>
      </c>
      <c r="M13" s="76" t="s">
        <v>32</v>
      </c>
      <c r="N13" s="75" t="s">
        <v>32</v>
      </c>
      <c r="O13" s="86" t="s">
        <v>9</v>
      </c>
      <c r="P13" s="76" t="s">
        <v>25</v>
      </c>
      <c r="Q13" s="76" t="s">
        <v>25</v>
      </c>
      <c r="R13" s="76" t="s">
        <v>25</v>
      </c>
      <c r="S13" s="76" t="s">
        <v>25</v>
      </c>
      <c r="T13" s="76" t="s">
        <v>25</v>
      </c>
      <c r="U13" s="76" t="s">
        <v>25</v>
      </c>
      <c r="V13" s="76" t="s">
        <v>25</v>
      </c>
      <c r="W13" s="76" t="s">
        <v>25</v>
      </c>
      <c r="X13" s="77" t="s">
        <v>74</v>
      </c>
      <c r="Y13" s="78">
        <f>2^8</f>
        <v>256</v>
      </c>
      <c r="Z13" s="76">
        <f t="shared" si="0"/>
        <v>254</v>
      </c>
      <c r="AA13" s="9" t="s">
        <v>115</v>
      </c>
      <c r="AB13" s="76" t="s">
        <v>116</v>
      </c>
      <c r="AC13" s="9" t="s">
        <v>117</v>
      </c>
      <c r="AD13" s="13" t="s">
        <v>118</v>
      </c>
    </row>
    <row r="14" spans="1:30" s="46" customFormat="1" ht="19.5" customHeight="1">
      <c r="A14" s="73" t="s">
        <v>80</v>
      </c>
      <c r="B14" s="3">
        <f>2^9</f>
        <v>512</v>
      </c>
      <c r="C14" s="35" t="s">
        <v>14</v>
      </c>
      <c r="D14" s="36" t="s">
        <v>9</v>
      </c>
      <c r="E14" s="35" t="s">
        <v>14</v>
      </c>
      <c r="F14" s="36" t="s">
        <v>9</v>
      </c>
      <c r="G14" s="50" t="s">
        <v>32</v>
      </c>
      <c r="H14" s="50" t="s">
        <v>32</v>
      </c>
      <c r="I14" s="50" t="s">
        <v>32</v>
      </c>
      <c r="J14" s="50" t="s">
        <v>32</v>
      </c>
      <c r="K14" s="50" t="s">
        <v>32</v>
      </c>
      <c r="L14" s="50" t="s">
        <v>32</v>
      </c>
      <c r="M14" s="50" t="s">
        <v>32</v>
      </c>
      <c r="N14" s="50" t="s">
        <v>32</v>
      </c>
      <c r="O14" s="49" t="s">
        <v>9</v>
      </c>
      <c r="P14" s="35" t="s">
        <v>32</v>
      </c>
      <c r="Q14" s="50" t="s">
        <v>25</v>
      </c>
      <c r="R14" s="50" t="s">
        <v>25</v>
      </c>
      <c r="S14" s="50" t="s">
        <v>25</v>
      </c>
      <c r="T14" s="50" t="s">
        <v>25</v>
      </c>
      <c r="U14" s="50" t="s">
        <v>25</v>
      </c>
      <c r="V14" s="50" t="s">
        <v>25</v>
      </c>
      <c r="W14" s="50" t="s">
        <v>25</v>
      </c>
      <c r="X14" s="51" t="s">
        <v>68</v>
      </c>
      <c r="Y14" s="52">
        <f>2^7</f>
        <v>128</v>
      </c>
      <c r="Z14" s="50">
        <f t="shared" si="0"/>
        <v>126</v>
      </c>
      <c r="AA14" s="3" t="s">
        <v>119</v>
      </c>
      <c r="AB14" s="50" t="s">
        <v>120</v>
      </c>
      <c r="AC14" s="3" t="s">
        <v>121</v>
      </c>
      <c r="AD14" s="11" t="s">
        <v>122</v>
      </c>
    </row>
    <row r="15" spans="1:30" s="59" customFormat="1" ht="19.5" customHeight="1">
      <c r="A15" s="79" t="s">
        <v>86</v>
      </c>
      <c r="B15" s="8">
        <f>2^10</f>
        <v>1024</v>
      </c>
      <c r="C15" s="20" t="s">
        <v>14</v>
      </c>
      <c r="D15" s="36" t="s">
        <v>9</v>
      </c>
      <c r="E15" s="20" t="s">
        <v>14</v>
      </c>
      <c r="F15" s="36" t="s">
        <v>9</v>
      </c>
      <c r="G15" s="56" t="s">
        <v>32</v>
      </c>
      <c r="H15" s="56" t="s">
        <v>32</v>
      </c>
      <c r="I15" s="56" t="s">
        <v>32</v>
      </c>
      <c r="J15" s="56" t="s">
        <v>32</v>
      </c>
      <c r="K15" s="56" t="s">
        <v>32</v>
      </c>
      <c r="L15" s="56" t="s">
        <v>32</v>
      </c>
      <c r="M15" s="56" t="s">
        <v>32</v>
      </c>
      <c r="N15" s="56" t="s">
        <v>32</v>
      </c>
      <c r="O15" s="49" t="s">
        <v>9</v>
      </c>
      <c r="P15" s="56" t="s">
        <v>32</v>
      </c>
      <c r="Q15" s="20" t="s">
        <v>32</v>
      </c>
      <c r="R15" s="56" t="s">
        <v>25</v>
      </c>
      <c r="S15" s="56" t="s">
        <v>25</v>
      </c>
      <c r="T15" s="56" t="s">
        <v>25</v>
      </c>
      <c r="U15" s="56" t="s">
        <v>25</v>
      </c>
      <c r="V15" s="56" t="s">
        <v>25</v>
      </c>
      <c r="W15" s="56" t="s">
        <v>25</v>
      </c>
      <c r="X15" s="57" t="s">
        <v>62</v>
      </c>
      <c r="Y15" s="58">
        <f>2^6</f>
        <v>64</v>
      </c>
      <c r="Z15" s="56">
        <f t="shared" si="0"/>
        <v>62</v>
      </c>
      <c r="AA15" s="8" t="s">
        <v>123</v>
      </c>
      <c r="AB15" s="56" t="s">
        <v>124</v>
      </c>
      <c r="AC15" s="8" t="s">
        <v>125</v>
      </c>
      <c r="AD15" s="12" t="s">
        <v>126</v>
      </c>
    </row>
    <row r="16" spans="1:30" s="46" customFormat="1" ht="19.5" customHeight="1">
      <c r="A16" s="73" t="s">
        <v>92</v>
      </c>
      <c r="B16" s="3">
        <f>2^11</f>
        <v>2048</v>
      </c>
      <c r="C16" s="35" t="s">
        <v>14</v>
      </c>
      <c r="D16" s="36" t="s">
        <v>9</v>
      </c>
      <c r="E16" s="35" t="s">
        <v>14</v>
      </c>
      <c r="F16" s="36" t="s">
        <v>9</v>
      </c>
      <c r="G16" s="50" t="s">
        <v>32</v>
      </c>
      <c r="H16" s="50" t="s">
        <v>32</v>
      </c>
      <c r="I16" s="50" t="s">
        <v>32</v>
      </c>
      <c r="J16" s="50" t="s">
        <v>32</v>
      </c>
      <c r="K16" s="50" t="s">
        <v>32</v>
      </c>
      <c r="L16" s="50" t="s">
        <v>32</v>
      </c>
      <c r="M16" s="50" t="s">
        <v>32</v>
      </c>
      <c r="N16" s="50" t="s">
        <v>32</v>
      </c>
      <c r="O16" s="49" t="s">
        <v>9</v>
      </c>
      <c r="P16" s="50" t="s">
        <v>32</v>
      </c>
      <c r="Q16" s="50" t="s">
        <v>32</v>
      </c>
      <c r="R16" s="35" t="s">
        <v>32</v>
      </c>
      <c r="S16" s="50" t="s">
        <v>25</v>
      </c>
      <c r="T16" s="50" t="s">
        <v>25</v>
      </c>
      <c r="U16" s="50" t="s">
        <v>25</v>
      </c>
      <c r="V16" s="50" t="s">
        <v>25</v>
      </c>
      <c r="W16" s="50" t="s">
        <v>25</v>
      </c>
      <c r="X16" s="51" t="s">
        <v>56</v>
      </c>
      <c r="Y16" s="52">
        <f>2^5</f>
        <v>32</v>
      </c>
      <c r="Z16" s="50">
        <f t="shared" si="0"/>
        <v>30</v>
      </c>
      <c r="AA16" s="3" t="s">
        <v>127</v>
      </c>
      <c r="AB16" s="50" t="s">
        <v>128</v>
      </c>
      <c r="AC16" s="3" t="s">
        <v>129</v>
      </c>
      <c r="AD16" s="11" t="s">
        <v>130</v>
      </c>
    </row>
    <row r="17" spans="1:30" s="59" customFormat="1" ht="19.5" customHeight="1">
      <c r="A17" s="79" t="s">
        <v>98</v>
      </c>
      <c r="B17" s="8">
        <f>2^12</f>
        <v>4096</v>
      </c>
      <c r="C17" s="20" t="s">
        <v>14</v>
      </c>
      <c r="D17" s="36" t="s">
        <v>9</v>
      </c>
      <c r="E17" s="20" t="s">
        <v>14</v>
      </c>
      <c r="F17" s="36" t="s">
        <v>9</v>
      </c>
      <c r="G17" s="56" t="s">
        <v>32</v>
      </c>
      <c r="H17" s="56" t="s">
        <v>32</v>
      </c>
      <c r="I17" s="56" t="s">
        <v>32</v>
      </c>
      <c r="J17" s="56" t="s">
        <v>32</v>
      </c>
      <c r="K17" s="56" t="s">
        <v>32</v>
      </c>
      <c r="L17" s="56" t="s">
        <v>32</v>
      </c>
      <c r="M17" s="56" t="s">
        <v>32</v>
      </c>
      <c r="N17" s="56" t="s">
        <v>32</v>
      </c>
      <c r="O17" s="49" t="s">
        <v>9</v>
      </c>
      <c r="P17" s="56" t="s">
        <v>32</v>
      </c>
      <c r="Q17" s="56" t="s">
        <v>32</v>
      </c>
      <c r="R17" s="56" t="s">
        <v>32</v>
      </c>
      <c r="S17" s="20" t="s">
        <v>32</v>
      </c>
      <c r="T17" s="56" t="s">
        <v>25</v>
      </c>
      <c r="U17" s="56" t="s">
        <v>25</v>
      </c>
      <c r="V17" s="56" t="s">
        <v>25</v>
      </c>
      <c r="W17" s="56" t="s">
        <v>25</v>
      </c>
      <c r="X17" s="57" t="s">
        <v>50</v>
      </c>
      <c r="Y17" s="58">
        <f>2^4</f>
        <v>16</v>
      </c>
      <c r="Z17" s="56">
        <f t="shared" si="0"/>
        <v>14</v>
      </c>
      <c r="AA17" s="8" t="s">
        <v>131</v>
      </c>
      <c r="AB17" s="56" t="s">
        <v>132</v>
      </c>
      <c r="AC17" s="8" t="s">
        <v>133</v>
      </c>
      <c r="AD17" s="12" t="s">
        <v>134</v>
      </c>
    </row>
    <row r="18" spans="1:30" s="46" customFormat="1" ht="19.5" customHeight="1">
      <c r="A18" s="73" t="s">
        <v>93</v>
      </c>
      <c r="B18" s="3">
        <f>2^13</f>
        <v>8192</v>
      </c>
      <c r="C18" s="35" t="s">
        <v>14</v>
      </c>
      <c r="D18" s="36" t="s">
        <v>9</v>
      </c>
      <c r="E18" s="35" t="s">
        <v>14</v>
      </c>
      <c r="F18" s="36" t="s">
        <v>9</v>
      </c>
      <c r="G18" s="50" t="s">
        <v>32</v>
      </c>
      <c r="H18" s="50" t="s">
        <v>32</v>
      </c>
      <c r="I18" s="50" t="s">
        <v>32</v>
      </c>
      <c r="J18" s="50" t="s">
        <v>32</v>
      </c>
      <c r="K18" s="50" t="s">
        <v>32</v>
      </c>
      <c r="L18" s="50" t="s">
        <v>32</v>
      </c>
      <c r="M18" s="50" t="s">
        <v>32</v>
      </c>
      <c r="N18" s="50" t="s">
        <v>32</v>
      </c>
      <c r="O18" s="49" t="s">
        <v>9</v>
      </c>
      <c r="P18" s="50" t="s">
        <v>32</v>
      </c>
      <c r="Q18" s="50" t="s">
        <v>32</v>
      </c>
      <c r="R18" s="50" t="s">
        <v>32</v>
      </c>
      <c r="S18" s="50" t="s">
        <v>32</v>
      </c>
      <c r="T18" s="35" t="s">
        <v>32</v>
      </c>
      <c r="U18" s="50" t="s">
        <v>25</v>
      </c>
      <c r="V18" s="50" t="s">
        <v>25</v>
      </c>
      <c r="W18" s="50" t="s">
        <v>25</v>
      </c>
      <c r="X18" s="51" t="s">
        <v>44</v>
      </c>
      <c r="Y18" s="52">
        <f>2^3</f>
        <v>8</v>
      </c>
      <c r="Z18" s="50">
        <f t="shared" si="0"/>
        <v>6</v>
      </c>
      <c r="AA18" s="3" t="s">
        <v>135</v>
      </c>
      <c r="AB18" s="50" t="s">
        <v>136</v>
      </c>
      <c r="AC18" s="3" t="s">
        <v>137</v>
      </c>
      <c r="AD18" s="11" t="s">
        <v>138</v>
      </c>
    </row>
    <row r="19" spans="1:30" s="59" customFormat="1" ht="19.5" customHeight="1">
      <c r="A19" s="79" t="s">
        <v>87</v>
      </c>
      <c r="B19" s="8">
        <f>2^14</f>
        <v>16384</v>
      </c>
      <c r="C19" s="20" t="s">
        <v>14</v>
      </c>
      <c r="D19" s="36" t="s">
        <v>9</v>
      </c>
      <c r="E19" s="20" t="s">
        <v>14</v>
      </c>
      <c r="F19" s="36" t="s">
        <v>9</v>
      </c>
      <c r="G19" s="56" t="s">
        <v>32</v>
      </c>
      <c r="H19" s="56" t="s">
        <v>32</v>
      </c>
      <c r="I19" s="56" t="s">
        <v>32</v>
      </c>
      <c r="J19" s="56" t="s">
        <v>32</v>
      </c>
      <c r="K19" s="56" t="s">
        <v>32</v>
      </c>
      <c r="L19" s="56" t="s">
        <v>32</v>
      </c>
      <c r="M19" s="56" t="s">
        <v>32</v>
      </c>
      <c r="N19" s="56" t="s">
        <v>32</v>
      </c>
      <c r="O19" s="49" t="s">
        <v>9</v>
      </c>
      <c r="P19" s="56" t="s">
        <v>32</v>
      </c>
      <c r="Q19" s="56" t="s">
        <v>32</v>
      </c>
      <c r="R19" s="56" t="s">
        <v>32</v>
      </c>
      <c r="S19" s="56" t="s">
        <v>32</v>
      </c>
      <c r="T19" s="56" t="s">
        <v>32</v>
      </c>
      <c r="U19" s="20" t="s">
        <v>32</v>
      </c>
      <c r="V19" s="56" t="s">
        <v>25</v>
      </c>
      <c r="W19" s="56" t="s">
        <v>25</v>
      </c>
      <c r="X19" s="57" t="s">
        <v>38</v>
      </c>
      <c r="Y19" s="58">
        <f>2^2</f>
        <v>4</v>
      </c>
      <c r="Z19" s="56">
        <f t="shared" si="0"/>
        <v>2</v>
      </c>
      <c r="AA19" s="8" t="s">
        <v>139</v>
      </c>
      <c r="AB19" s="56" t="s">
        <v>140</v>
      </c>
      <c r="AC19" s="8" t="s">
        <v>141</v>
      </c>
      <c r="AD19" s="12" t="s">
        <v>142</v>
      </c>
    </row>
    <row r="20" spans="1:30" s="46" customFormat="1" ht="19.5" customHeight="1">
      <c r="A20" s="60" t="s">
        <v>81</v>
      </c>
      <c r="B20" s="26">
        <f>2^15</f>
        <v>32768</v>
      </c>
      <c r="C20" s="36" t="s">
        <v>14</v>
      </c>
      <c r="D20" s="36" t="s">
        <v>9</v>
      </c>
      <c r="E20" s="36" t="s">
        <v>14</v>
      </c>
      <c r="F20" s="36" t="s">
        <v>9</v>
      </c>
      <c r="G20" s="61" t="s">
        <v>32</v>
      </c>
      <c r="H20" s="61" t="s">
        <v>32</v>
      </c>
      <c r="I20" s="61" t="s">
        <v>32</v>
      </c>
      <c r="J20" s="61" t="s">
        <v>32</v>
      </c>
      <c r="K20" s="61" t="s">
        <v>32</v>
      </c>
      <c r="L20" s="61" t="s">
        <v>32</v>
      </c>
      <c r="M20" s="61" t="s">
        <v>32</v>
      </c>
      <c r="N20" s="61" t="s">
        <v>32</v>
      </c>
      <c r="O20" s="49" t="s">
        <v>9</v>
      </c>
      <c r="P20" s="61" t="s">
        <v>32</v>
      </c>
      <c r="Q20" s="61" t="s">
        <v>32</v>
      </c>
      <c r="R20" s="61" t="s">
        <v>32</v>
      </c>
      <c r="S20" s="61" t="s">
        <v>32</v>
      </c>
      <c r="T20" s="61" t="s">
        <v>32</v>
      </c>
      <c r="U20" s="61" t="s">
        <v>32</v>
      </c>
      <c r="V20" s="36" t="s">
        <v>32</v>
      </c>
      <c r="W20" s="61" t="s">
        <v>25</v>
      </c>
      <c r="X20" s="62" t="s">
        <v>31</v>
      </c>
      <c r="Y20" s="63">
        <v>2</v>
      </c>
      <c r="Z20" s="61">
        <f t="shared" si="0"/>
        <v>0</v>
      </c>
      <c r="AA20" s="26" t="s">
        <v>143</v>
      </c>
      <c r="AB20" s="61" t="s">
        <v>144</v>
      </c>
      <c r="AC20" s="26" t="s">
        <v>145</v>
      </c>
      <c r="AD20" s="27" t="s">
        <v>146</v>
      </c>
    </row>
    <row r="21" spans="1:30" s="59" customFormat="1" ht="19.5" customHeight="1" thickBot="1">
      <c r="A21" s="64" t="s">
        <v>75</v>
      </c>
      <c r="B21" s="28">
        <f>2^16</f>
        <v>65536</v>
      </c>
      <c r="C21" s="65" t="s">
        <v>14</v>
      </c>
      <c r="D21" s="65" t="s">
        <v>9</v>
      </c>
      <c r="E21" s="65" t="s">
        <v>14</v>
      </c>
      <c r="F21" s="65" t="s">
        <v>9</v>
      </c>
      <c r="G21" s="67" t="s">
        <v>32</v>
      </c>
      <c r="H21" s="67" t="s">
        <v>32</v>
      </c>
      <c r="I21" s="67" t="s">
        <v>32</v>
      </c>
      <c r="J21" s="67" t="s">
        <v>32</v>
      </c>
      <c r="K21" s="67" t="s">
        <v>32</v>
      </c>
      <c r="L21" s="67" t="s">
        <v>32</v>
      </c>
      <c r="M21" s="67" t="s">
        <v>32</v>
      </c>
      <c r="N21" s="67" t="s">
        <v>32</v>
      </c>
      <c r="O21" s="66" t="s">
        <v>9</v>
      </c>
      <c r="P21" s="67" t="s">
        <v>32</v>
      </c>
      <c r="Q21" s="67" t="s">
        <v>32</v>
      </c>
      <c r="R21" s="67" t="s">
        <v>32</v>
      </c>
      <c r="S21" s="67" t="s">
        <v>32</v>
      </c>
      <c r="T21" s="67" t="s">
        <v>32</v>
      </c>
      <c r="U21" s="67" t="s">
        <v>32</v>
      </c>
      <c r="V21" s="67" t="s">
        <v>32</v>
      </c>
      <c r="W21" s="65" t="s">
        <v>32</v>
      </c>
      <c r="X21" s="68" t="s">
        <v>24</v>
      </c>
      <c r="Y21" s="69">
        <v>1</v>
      </c>
      <c r="Z21" s="67">
        <f t="shared" si="0"/>
        <v>-1</v>
      </c>
      <c r="AA21" s="28" t="s">
        <v>147</v>
      </c>
      <c r="AB21" s="67" t="s">
        <v>148</v>
      </c>
      <c r="AC21" s="28" t="s">
        <v>149</v>
      </c>
      <c r="AD21" s="29" t="s">
        <v>150</v>
      </c>
    </row>
  </sheetData>
  <mergeCells count="20">
    <mergeCell ref="AB1:AB2"/>
    <mergeCell ref="AA3:AA4"/>
    <mergeCell ref="AB3:AB4"/>
    <mergeCell ref="AC3:AC4"/>
    <mergeCell ref="AD3:AD4"/>
    <mergeCell ref="A4:B4"/>
    <mergeCell ref="X4:Y4"/>
    <mergeCell ref="AC1:AC2"/>
    <mergeCell ref="AD1:AD2"/>
    <mergeCell ref="G2:N2"/>
    <mergeCell ref="P2:W2"/>
    <mergeCell ref="A3:B3"/>
    <mergeCell ref="G3:N3"/>
    <mergeCell ref="P3:W3"/>
    <mergeCell ref="X3:Z3"/>
    <mergeCell ref="A1:B2"/>
    <mergeCell ref="C1:W1"/>
    <mergeCell ref="X1:Y2"/>
    <mergeCell ref="Z1:Z2"/>
    <mergeCell ref="AA1:AA2"/>
  </mergeCells>
  <pageMargins left="0.45" right="0.45" top="0.75" bottom="0.75" header="0.3" footer="0.3"/>
  <pageSetup scale="84" orientation="landscape" r:id="rId1"/>
  <headerFooter>
    <oddHeader>&amp;CSubnetting Matrix for Class B Addresses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BB2A6-3143-45B9-8FD4-D81D649D1E0D}">
  <sheetPr>
    <pageSetUpPr fitToPage="1"/>
  </sheetPr>
  <dimension ref="A1:W13"/>
  <sheetViews>
    <sheetView tabSelected="1" workbookViewId="0">
      <selection activeCell="A14" sqref="A14"/>
    </sheetView>
  </sheetViews>
  <sheetFormatPr defaultRowHeight="15"/>
  <cols>
    <col min="1" max="1" width="5.5703125" style="16" bestFit="1" customWidth="1"/>
    <col min="2" max="2" width="10.140625" style="17" bestFit="1" customWidth="1"/>
    <col min="3" max="3" width="4.7109375" style="17" customWidth="1"/>
    <col min="4" max="4" width="1" style="17" customWidth="1"/>
    <col min="5" max="5" width="4.85546875" style="17" customWidth="1"/>
    <col min="6" max="6" width="1" style="17" customWidth="1"/>
    <col min="7" max="7" width="4.85546875" style="17" customWidth="1"/>
    <col min="8" max="8" width="1" style="17" customWidth="1"/>
    <col min="9" max="10" width="2.7109375" style="17" customWidth="1"/>
    <col min="11" max="16" width="2.7109375" customWidth="1"/>
    <col min="17" max="17" width="5.5703125" bestFit="1" customWidth="1"/>
    <col min="18" max="18" width="10.140625" bestFit="1" customWidth="1"/>
    <col min="19" max="19" width="11.140625" customWidth="1"/>
    <col min="20" max="20" width="11.7109375" style="17" customWidth="1"/>
    <col min="21" max="21" width="9" style="17" customWidth="1"/>
    <col min="22" max="22" width="16.5703125" style="18" bestFit="1" customWidth="1"/>
    <col min="23" max="23" width="16.42578125" style="18" customWidth="1"/>
  </cols>
  <sheetData>
    <row r="1" spans="1:23" s="14" customFormat="1" ht="41.25" customHeight="1">
      <c r="A1" s="108" t="s">
        <v>0</v>
      </c>
      <c r="B1" s="109"/>
      <c r="C1" s="112" t="s">
        <v>156</v>
      </c>
      <c r="D1" s="118"/>
      <c r="E1" s="113"/>
      <c r="F1" s="118"/>
      <c r="G1" s="118"/>
      <c r="H1" s="113"/>
      <c r="I1" s="113"/>
      <c r="J1" s="113"/>
      <c r="K1" s="113"/>
      <c r="L1" s="113"/>
      <c r="M1" s="113"/>
      <c r="N1" s="113"/>
      <c r="O1" s="113"/>
      <c r="P1" s="113"/>
      <c r="Q1" s="114" t="s">
        <v>2</v>
      </c>
      <c r="R1" s="115"/>
      <c r="S1" s="103" t="s">
        <v>3</v>
      </c>
      <c r="T1" s="103" t="s">
        <v>152</v>
      </c>
      <c r="U1" s="103" t="s">
        <v>5</v>
      </c>
      <c r="V1" s="103" t="s">
        <v>6</v>
      </c>
      <c r="W1" s="105" t="s">
        <v>7</v>
      </c>
    </row>
    <row r="2" spans="1:23" s="15" customFormat="1" ht="37.5" customHeight="1">
      <c r="A2" s="110"/>
      <c r="B2" s="111"/>
      <c r="C2" s="4" t="s">
        <v>8</v>
      </c>
      <c r="D2" s="33" t="s">
        <v>9</v>
      </c>
      <c r="E2" s="5" t="s">
        <v>153</v>
      </c>
      <c r="F2" s="33" t="s">
        <v>9</v>
      </c>
      <c r="G2" s="5" t="s">
        <v>157</v>
      </c>
      <c r="H2" s="32" t="s">
        <v>9</v>
      </c>
      <c r="I2" s="107" t="s">
        <v>12</v>
      </c>
      <c r="J2" s="107"/>
      <c r="K2" s="107"/>
      <c r="L2" s="107"/>
      <c r="M2" s="107"/>
      <c r="N2" s="107"/>
      <c r="O2" s="107"/>
      <c r="P2" s="107"/>
      <c r="Q2" s="116"/>
      <c r="R2" s="117"/>
      <c r="S2" s="104"/>
      <c r="T2" s="104"/>
      <c r="U2" s="104"/>
      <c r="V2" s="104"/>
      <c r="W2" s="106"/>
    </row>
    <row r="3" spans="1:23" ht="45" customHeight="1">
      <c r="A3" s="97" t="s">
        <v>13</v>
      </c>
      <c r="B3" s="98"/>
      <c r="C3" s="19" t="s">
        <v>14</v>
      </c>
      <c r="D3" s="36" t="s">
        <v>9</v>
      </c>
      <c r="E3" s="35" t="s">
        <v>14</v>
      </c>
      <c r="F3" s="36" t="s">
        <v>9</v>
      </c>
      <c r="G3" s="35" t="s">
        <v>14</v>
      </c>
      <c r="H3" s="32" t="s">
        <v>9</v>
      </c>
      <c r="I3" s="99" t="s">
        <v>15</v>
      </c>
      <c r="J3" s="99"/>
      <c r="K3" s="99"/>
      <c r="L3" s="99"/>
      <c r="M3" s="99"/>
      <c r="N3" s="99"/>
      <c r="O3" s="99"/>
      <c r="P3" s="99"/>
      <c r="Q3" s="100" t="s">
        <v>16</v>
      </c>
      <c r="R3" s="101"/>
      <c r="S3" s="102"/>
      <c r="T3" s="87" t="s">
        <v>154</v>
      </c>
      <c r="U3" s="89" t="s">
        <v>18</v>
      </c>
      <c r="V3" s="87" t="s">
        <v>19</v>
      </c>
      <c r="W3" s="91" t="s">
        <v>20</v>
      </c>
    </row>
    <row r="4" spans="1:23" ht="39" customHeight="1">
      <c r="A4" s="93" t="s">
        <v>21</v>
      </c>
      <c r="B4" s="94"/>
      <c r="C4" s="2" t="s">
        <v>14</v>
      </c>
      <c r="D4" s="31" t="s">
        <v>9</v>
      </c>
      <c r="E4" s="34" t="s">
        <v>14</v>
      </c>
      <c r="F4" s="31" t="s">
        <v>9</v>
      </c>
      <c r="G4" s="34" t="s">
        <v>14</v>
      </c>
      <c r="H4" s="30" t="s">
        <v>9</v>
      </c>
      <c r="I4" s="37">
        <v>128</v>
      </c>
      <c r="J4" s="22">
        <v>64</v>
      </c>
      <c r="K4" s="22">
        <v>32</v>
      </c>
      <c r="L4" s="22">
        <v>16</v>
      </c>
      <c r="M4" s="23">
        <v>8</v>
      </c>
      <c r="N4" s="23">
        <v>4</v>
      </c>
      <c r="O4" s="23">
        <v>2</v>
      </c>
      <c r="P4" s="23">
        <v>1</v>
      </c>
      <c r="Q4" s="95" t="s">
        <v>22</v>
      </c>
      <c r="R4" s="96"/>
      <c r="S4" s="6" t="s">
        <v>23</v>
      </c>
      <c r="T4" s="88"/>
      <c r="U4" s="90"/>
      <c r="V4" s="88"/>
      <c r="W4" s="92"/>
    </row>
    <row r="5" spans="1:23" s="46" customFormat="1" ht="20.25" customHeight="1">
      <c r="A5" s="38" t="s">
        <v>24</v>
      </c>
      <c r="B5" s="39">
        <f>2^0</f>
        <v>1</v>
      </c>
      <c r="C5" s="4" t="s">
        <v>14</v>
      </c>
      <c r="D5" s="36" t="s">
        <v>9</v>
      </c>
      <c r="E5" s="5" t="s">
        <v>14</v>
      </c>
      <c r="F5" s="40" t="s">
        <v>9</v>
      </c>
      <c r="G5" s="5" t="s">
        <v>14</v>
      </c>
      <c r="H5" s="32" t="s">
        <v>9</v>
      </c>
      <c r="I5" s="24" t="s">
        <v>25</v>
      </c>
      <c r="J5" s="24" t="s">
        <v>25</v>
      </c>
      <c r="K5" s="24" t="s">
        <v>25</v>
      </c>
      <c r="L5" s="24" t="s">
        <v>25</v>
      </c>
      <c r="M5" s="24" t="s">
        <v>25</v>
      </c>
      <c r="N5" s="24" t="s">
        <v>25</v>
      </c>
      <c r="O5" s="24" t="s">
        <v>25</v>
      </c>
      <c r="P5" s="41" t="s">
        <v>25</v>
      </c>
      <c r="Q5" s="42" t="s">
        <v>75</v>
      </c>
      <c r="R5" s="43">
        <f>2^16</f>
        <v>65536</v>
      </c>
      <c r="S5" s="25">
        <f>R5-2</f>
        <v>65534</v>
      </c>
      <c r="T5" s="44" t="s">
        <v>158</v>
      </c>
      <c r="U5" s="45" t="s">
        <v>116</v>
      </c>
      <c r="V5" s="7" t="s">
        <v>117</v>
      </c>
      <c r="W5" s="10" t="s">
        <v>118</v>
      </c>
    </row>
    <row r="6" spans="1:23" s="46" customFormat="1" ht="20.25" customHeight="1">
      <c r="A6" s="47" t="s">
        <v>31</v>
      </c>
      <c r="B6" s="48">
        <f>2^1</f>
        <v>2</v>
      </c>
      <c r="C6" s="19" t="s">
        <v>14</v>
      </c>
      <c r="D6" s="36" t="s">
        <v>9</v>
      </c>
      <c r="E6" s="35" t="s">
        <v>14</v>
      </c>
      <c r="F6" s="36" t="s">
        <v>9</v>
      </c>
      <c r="G6" s="35" t="s">
        <v>14</v>
      </c>
      <c r="H6" s="49" t="s">
        <v>9</v>
      </c>
      <c r="I6" s="35" t="s">
        <v>32</v>
      </c>
      <c r="J6" s="50" t="s">
        <v>25</v>
      </c>
      <c r="K6" s="50" t="s">
        <v>25</v>
      </c>
      <c r="L6" s="50" t="s">
        <v>25</v>
      </c>
      <c r="M6" s="50" t="s">
        <v>25</v>
      </c>
      <c r="N6" s="50" t="s">
        <v>25</v>
      </c>
      <c r="O6" s="50" t="s">
        <v>25</v>
      </c>
      <c r="P6" s="50" t="s">
        <v>25</v>
      </c>
      <c r="Q6" s="51" t="s">
        <v>68</v>
      </c>
      <c r="R6" s="52">
        <f>2^7</f>
        <v>128</v>
      </c>
      <c r="S6" s="50">
        <f t="shared" ref="S6:S13" si="0">R6-2</f>
        <v>126</v>
      </c>
      <c r="T6" s="3" t="s">
        <v>119</v>
      </c>
      <c r="U6" s="50" t="s">
        <v>120</v>
      </c>
      <c r="V6" s="3" t="s">
        <v>121</v>
      </c>
      <c r="W6" s="11" t="s">
        <v>122</v>
      </c>
    </row>
    <row r="7" spans="1:23" s="59" customFormat="1" ht="20.25" customHeight="1">
      <c r="A7" s="53" t="s">
        <v>38</v>
      </c>
      <c r="B7" s="54">
        <f>2^2</f>
        <v>4</v>
      </c>
      <c r="C7" s="55" t="s">
        <v>14</v>
      </c>
      <c r="D7" s="36" t="s">
        <v>9</v>
      </c>
      <c r="E7" s="20" t="s">
        <v>14</v>
      </c>
      <c r="F7" s="36" t="s">
        <v>9</v>
      </c>
      <c r="G7" s="20" t="s">
        <v>14</v>
      </c>
      <c r="H7" s="49" t="s">
        <v>9</v>
      </c>
      <c r="I7" s="56" t="s">
        <v>32</v>
      </c>
      <c r="J7" s="20" t="s">
        <v>32</v>
      </c>
      <c r="K7" s="56" t="s">
        <v>25</v>
      </c>
      <c r="L7" s="56" t="s">
        <v>25</v>
      </c>
      <c r="M7" s="56" t="s">
        <v>25</v>
      </c>
      <c r="N7" s="56" t="s">
        <v>25</v>
      </c>
      <c r="O7" s="56" t="s">
        <v>25</v>
      </c>
      <c r="P7" s="56" t="s">
        <v>25</v>
      </c>
      <c r="Q7" s="57" t="s">
        <v>62</v>
      </c>
      <c r="R7" s="58">
        <f>2^6</f>
        <v>64</v>
      </c>
      <c r="S7" s="56">
        <f t="shared" si="0"/>
        <v>62</v>
      </c>
      <c r="T7" s="8" t="s">
        <v>123</v>
      </c>
      <c r="U7" s="56" t="s">
        <v>124</v>
      </c>
      <c r="V7" s="8" t="s">
        <v>125</v>
      </c>
      <c r="W7" s="12" t="s">
        <v>126</v>
      </c>
    </row>
    <row r="8" spans="1:23" s="46" customFormat="1" ht="20.25" customHeight="1">
      <c r="A8" s="47" t="s">
        <v>44</v>
      </c>
      <c r="B8" s="48">
        <f>2^3</f>
        <v>8</v>
      </c>
      <c r="C8" s="19" t="s">
        <v>14</v>
      </c>
      <c r="D8" s="36" t="s">
        <v>9</v>
      </c>
      <c r="E8" s="35" t="s">
        <v>14</v>
      </c>
      <c r="F8" s="36" t="s">
        <v>9</v>
      </c>
      <c r="G8" s="35" t="s">
        <v>14</v>
      </c>
      <c r="H8" s="49" t="s">
        <v>9</v>
      </c>
      <c r="I8" s="50" t="s">
        <v>32</v>
      </c>
      <c r="J8" s="50" t="s">
        <v>32</v>
      </c>
      <c r="K8" s="35" t="s">
        <v>32</v>
      </c>
      <c r="L8" s="50" t="s">
        <v>25</v>
      </c>
      <c r="M8" s="50" t="s">
        <v>25</v>
      </c>
      <c r="N8" s="50" t="s">
        <v>25</v>
      </c>
      <c r="O8" s="50" t="s">
        <v>25</v>
      </c>
      <c r="P8" s="50" t="s">
        <v>25</v>
      </c>
      <c r="Q8" s="51" t="s">
        <v>56</v>
      </c>
      <c r="R8" s="52">
        <f>2^5</f>
        <v>32</v>
      </c>
      <c r="S8" s="50">
        <f t="shared" si="0"/>
        <v>30</v>
      </c>
      <c r="T8" s="3" t="s">
        <v>127</v>
      </c>
      <c r="U8" s="50" t="s">
        <v>128</v>
      </c>
      <c r="V8" s="3" t="s">
        <v>129</v>
      </c>
      <c r="W8" s="11" t="s">
        <v>130</v>
      </c>
    </row>
    <row r="9" spans="1:23" s="59" customFormat="1" ht="20.25" customHeight="1">
      <c r="A9" s="53" t="s">
        <v>50</v>
      </c>
      <c r="B9" s="54">
        <f>2^4</f>
        <v>16</v>
      </c>
      <c r="C9" s="55" t="s">
        <v>14</v>
      </c>
      <c r="D9" s="36" t="s">
        <v>9</v>
      </c>
      <c r="E9" s="20" t="s">
        <v>14</v>
      </c>
      <c r="F9" s="36" t="s">
        <v>9</v>
      </c>
      <c r="G9" s="20" t="s">
        <v>14</v>
      </c>
      <c r="H9" s="49" t="s">
        <v>9</v>
      </c>
      <c r="I9" s="56" t="s">
        <v>32</v>
      </c>
      <c r="J9" s="56" t="s">
        <v>32</v>
      </c>
      <c r="K9" s="56" t="s">
        <v>32</v>
      </c>
      <c r="L9" s="20" t="s">
        <v>32</v>
      </c>
      <c r="M9" s="56" t="s">
        <v>25</v>
      </c>
      <c r="N9" s="56" t="s">
        <v>25</v>
      </c>
      <c r="O9" s="56" t="s">
        <v>25</v>
      </c>
      <c r="P9" s="56" t="s">
        <v>25</v>
      </c>
      <c r="Q9" s="57" t="s">
        <v>50</v>
      </c>
      <c r="R9" s="58">
        <f>2^4</f>
        <v>16</v>
      </c>
      <c r="S9" s="56">
        <f t="shared" si="0"/>
        <v>14</v>
      </c>
      <c r="T9" s="8" t="s">
        <v>131</v>
      </c>
      <c r="U9" s="56" t="s">
        <v>132</v>
      </c>
      <c r="V9" s="8" t="s">
        <v>133</v>
      </c>
      <c r="W9" s="12" t="s">
        <v>134</v>
      </c>
    </row>
    <row r="10" spans="1:23" s="46" customFormat="1" ht="20.25" customHeight="1">
      <c r="A10" s="47" t="s">
        <v>56</v>
      </c>
      <c r="B10" s="48">
        <f>2^5</f>
        <v>32</v>
      </c>
      <c r="C10" s="19" t="s">
        <v>14</v>
      </c>
      <c r="D10" s="36" t="s">
        <v>9</v>
      </c>
      <c r="E10" s="35" t="s">
        <v>14</v>
      </c>
      <c r="F10" s="36" t="s">
        <v>9</v>
      </c>
      <c r="G10" s="35" t="s">
        <v>14</v>
      </c>
      <c r="H10" s="49" t="s">
        <v>9</v>
      </c>
      <c r="I10" s="50" t="s">
        <v>32</v>
      </c>
      <c r="J10" s="50" t="s">
        <v>32</v>
      </c>
      <c r="K10" s="50" t="s">
        <v>32</v>
      </c>
      <c r="L10" s="50" t="s">
        <v>32</v>
      </c>
      <c r="M10" s="35" t="s">
        <v>32</v>
      </c>
      <c r="N10" s="50" t="s">
        <v>25</v>
      </c>
      <c r="O10" s="50" t="s">
        <v>25</v>
      </c>
      <c r="P10" s="50" t="s">
        <v>25</v>
      </c>
      <c r="Q10" s="51" t="s">
        <v>44</v>
      </c>
      <c r="R10" s="52">
        <f>2^3</f>
        <v>8</v>
      </c>
      <c r="S10" s="50">
        <f t="shared" si="0"/>
        <v>6</v>
      </c>
      <c r="T10" s="3" t="s">
        <v>135</v>
      </c>
      <c r="U10" s="50" t="s">
        <v>136</v>
      </c>
      <c r="V10" s="3" t="s">
        <v>137</v>
      </c>
      <c r="W10" s="11" t="s">
        <v>138</v>
      </c>
    </row>
    <row r="11" spans="1:23" s="59" customFormat="1" ht="20.25" customHeight="1">
      <c r="A11" s="53" t="s">
        <v>62</v>
      </c>
      <c r="B11" s="54">
        <f>2^6</f>
        <v>64</v>
      </c>
      <c r="C11" s="55" t="s">
        <v>14</v>
      </c>
      <c r="D11" s="36" t="s">
        <v>9</v>
      </c>
      <c r="E11" s="20" t="s">
        <v>14</v>
      </c>
      <c r="F11" s="36" t="s">
        <v>9</v>
      </c>
      <c r="G11" s="20" t="s">
        <v>14</v>
      </c>
      <c r="H11" s="49" t="s">
        <v>9</v>
      </c>
      <c r="I11" s="56" t="s">
        <v>32</v>
      </c>
      <c r="J11" s="56" t="s">
        <v>32</v>
      </c>
      <c r="K11" s="56" t="s">
        <v>32</v>
      </c>
      <c r="L11" s="56" t="s">
        <v>32</v>
      </c>
      <c r="M11" s="56" t="s">
        <v>32</v>
      </c>
      <c r="N11" s="20" t="s">
        <v>32</v>
      </c>
      <c r="O11" s="56" t="s">
        <v>25</v>
      </c>
      <c r="P11" s="56" t="s">
        <v>25</v>
      </c>
      <c r="Q11" s="57" t="s">
        <v>38</v>
      </c>
      <c r="R11" s="58">
        <f>2^2</f>
        <v>4</v>
      </c>
      <c r="S11" s="56">
        <f t="shared" si="0"/>
        <v>2</v>
      </c>
      <c r="T11" s="8" t="s">
        <v>139</v>
      </c>
      <c r="U11" s="56" t="s">
        <v>140</v>
      </c>
      <c r="V11" s="8" t="s">
        <v>141</v>
      </c>
      <c r="W11" s="12" t="s">
        <v>142</v>
      </c>
    </row>
    <row r="12" spans="1:23" s="46" customFormat="1" ht="20.25" customHeight="1">
      <c r="A12" s="60" t="s">
        <v>68</v>
      </c>
      <c r="B12" s="26">
        <f>2^7</f>
        <v>128</v>
      </c>
      <c r="C12" s="36" t="s">
        <v>14</v>
      </c>
      <c r="D12" s="36" t="s">
        <v>9</v>
      </c>
      <c r="E12" s="36" t="s">
        <v>14</v>
      </c>
      <c r="F12" s="36" t="s">
        <v>9</v>
      </c>
      <c r="G12" s="36" t="s">
        <v>14</v>
      </c>
      <c r="H12" s="49" t="s">
        <v>9</v>
      </c>
      <c r="I12" s="61" t="s">
        <v>32</v>
      </c>
      <c r="J12" s="61" t="s">
        <v>32</v>
      </c>
      <c r="K12" s="61" t="s">
        <v>32</v>
      </c>
      <c r="L12" s="61" t="s">
        <v>32</v>
      </c>
      <c r="M12" s="61" t="s">
        <v>32</v>
      </c>
      <c r="N12" s="61" t="s">
        <v>32</v>
      </c>
      <c r="O12" s="36" t="s">
        <v>32</v>
      </c>
      <c r="P12" s="61" t="s">
        <v>25</v>
      </c>
      <c r="Q12" s="62" t="s">
        <v>31</v>
      </c>
      <c r="R12" s="63">
        <v>2</v>
      </c>
      <c r="S12" s="61">
        <f t="shared" si="0"/>
        <v>0</v>
      </c>
      <c r="T12" s="26" t="s">
        <v>143</v>
      </c>
      <c r="U12" s="61" t="s">
        <v>144</v>
      </c>
      <c r="V12" s="26" t="s">
        <v>145</v>
      </c>
      <c r="W12" s="27" t="s">
        <v>146</v>
      </c>
    </row>
    <row r="13" spans="1:23" s="59" customFormat="1" ht="20.25" customHeight="1" thickBot="1">
      <c r="A13" s="64" t="s">
        <v>74</v>
      </c>
      <c r="B13" s="28">
        <f>2^8</f>
        <v>256</v>
      </c>
      <c r="C13" s="65" t="s">
        <v>14</v>
      </c>
      <c r="D13" s="65" t="s">
        <v>9</v>
      </c>
      <c r="E13" s="65" t="s">
        <v>14</v>
      </c>
      <c r="F13" s="65" t="s">
        <v>9</v>
      </c>
      <c r="G13" s="65" t="s">
        <v>14</v>
      </c>
      <c r="H13" s="66" t="s">
        <v>9</v>
      </c>
      <c r="I13" s="67" t="s">
        <v>32</v>
      </c>
      <c r="J13" s="67" t="s">
        <v>32</v>
      </c>
      <c r="K13" s="67" t="s">
        <v>32</v>
      </c>
      <c r="L13" s="67" t="s">
        <v>32</v>
      </c>
      <c r="M13" s="67" t="s">
        <v>32</v>
      </c>
      <c r="N13" s="67" t="s">
        <v>32</v>
      </c>
      <c r="O13" s="67" t="s">
        <v>32</v>
      </c>
      <c r="P13" s="65" t="s">
        <v>32</v>
      </c>
      <c r="Q13" s="68" t="s">
        <v>24</v>
      </c>
      <c r="R13" s="69">
        <v>1</v>
      </c>
      <c r="S13" s="67">
        <f t="shared" si="0"/>
        <v>-1</v>
      </c>
      <c r="T13" s="28" t="s">
        <v>147</v>
      </c>
      <c r="U13" s="67" t="s">
        <v>148</v>
      </c>
      <c r="V13" s="28" t="s">
        <v>149</v>
      </c>
      <c r="W13" s="29" t="s">
        <v>150</v>
      </c>
    </row>
  </sheetData>
  <mergeCells count="18">
    <mergeCell ref="V1:V2"/>
    <mergeCell ref="W1:W2"/>
    <mergeCell ref="I2:P2"/>
    <mergeCell ref="I3:P3"/>
    <mergeCell ref="Q3:S3"/>
    <mergeCell ref="T3:T4"/>
    <mergeCell ref="U3:U4"/>
    <mergeCell ref="V3:V4"/>
    <mergeCell ref="W3:W4"/>
    <mergeCell ref="Q4:R4"/>
    <mergeCell ref="C1:P1"/>
    <mergeCell ref="Q1:R2"/>
    <mergeCell ref="S1:S2"/>
    <mergeCell ref="T1:T2"/>
    <mergeCell ref="U1:U2"/>
    <mergeCell ref="A1:B2"/>
    <mergeCell ref="A4:B4"/>
    <mergeCell ref="A3:B3"/>
  </mergeCells>
  <phoneticPr fontId="4" type="noConversion"/>
  <pageMargins left="0.45" right="0.45" top="0.75" bottom="0.75" header="0.3" footer="0.3"/>
  <pageSetup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Bodden</dc:creator>
  <cp:keywords/>
  <dc:description/>
  <cp:lastModifiedBy>Joseph Phillippe</cp:lastModifiedBy>
  <cp:revision/>
  <dcterms:created xsi:type="dcterms:W3CDTF">2024-06-04T17:35:05Z</dcterms:created>
  <dcterms:modified xsi:type="dcterms:W3CDTF">2025-11-16T14:02:04Z</dcterms:modified>
  <cp:category/>
  <cp:contentStatus/>
</cp:coreProperties>
</file>